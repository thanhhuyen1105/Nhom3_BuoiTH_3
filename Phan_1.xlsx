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hom3_BuoiTH_3\"/>
    </mc:Choice>
  </mc:AlternateContent>
  <xr:revisionPtr revIDLastSave="0" documentId="13_ncr:1_{4DBE0496-A183-4BD5-B650-F6DBB9D2C64F}" xr6:coauthVersionLast="47" xr6:coauthVersionMax="47" xr10:uidLastSave="{00000000-0000-0000-0000-000000000000}"/>
  <bookViews>
    <workbookView xWindow="-108" yWindow="-108" windowWidth="23256" windowHeight="12456" firstSheet="3" activeTab="6" xr2:uid="{E25FF8A6-489B-41FF-9B5D-037A0A7951DE}"/>
  </bookViews>
  <sheets>
    <sheet name="Tổng hợp điểm" sheetId="1" r:id="rId1"/>
    <sheet name="Sinh viên điểm &lt; 7" sheetId="3" r:id="rId2"/>
    <sheet name="Sinh viên điểm &gt;= 7" sheetId="4" r:id="rId3"/>
    <sheet name="Điểm thực hành các buổi" sheetId="5" r:id="rId4"/>
    <sheet name="Điểm bài tập lớn" sheetId="6" r:id="rId5"/>
    <sheet name="Điểm lý thuyết" sheetId="7" r:id="rId6"/>
    <sheet name="Bảng tham chiếu &amp; thống kê" sheetId="2" r:id="rId7"/>
  </sheets>
  <externalReferences>
    <externalReference r:id="rId8"/>
  </externalReferences>
  <definedNames>
    <definedName name="_xlnm._FilterDatabase" localSheetId="4" hidden="1">'Điểm bài tập lớn'!$A$1:$D$16</definedName>
    <definedName name="_xlnm.Extract" localSheetId="1">'Sinh viên điểm &lt; 7'!$A$1:$K$1</definedName>
    <definedName name="_xlnm.Extract" localSheetId="2">'Sinh viên điểm &gt;= 7'!$A$1:$K$1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19" i="1"/>
  <c r="I20" i="1"/>
  <c r="D7" i="1"/>
  <c r="H15" i="1"/>
  <c r="H8" i="1"/>
  <c r="H9" i="1"/>
  <c r="H10" i="1"/>
  <c r="H11" i="1"/>
  <c r="H12" i="1"/>
  <c r="H13" i="1"/>
  <c r="H14" i="1"/>
  <c r="H16" i="1"/>
  <c r="H17" i="1"/>
  <c r="H18" i="1"/>
  <c r="H19" i="1"/>
  <c r="H20" i="1"/>
  <c r="H7" i="1"/>
  <c r="G8" i="1"/>
  <c r="G9" i="1"/>
  <c r="G10" i="1"/>
  <c r="J10" i="1" s="1"/>
  <c r="K10" i="1" s="1"/>
  <c r="G11" i="1"/>
  <c r="J11" i="1" s="1"/>
  <c r="K11" i="1" s="1"/>
  <c r="G12" i="1"/>
  <c r="G13" i="1"/>
  <c r="G14" i="1"/>
  <c r="J14" i="1" s="1"/>
  <c r="K14" i="1" s="1"/>
  <c r="G15" i="1"/>
  <c r="G16" i="1"/>
  <c r="G17" i="1"/>
  <c r="J17" i="1" s="1"/>
  <c r="K17" i="1" s="1"/>
  <c r="G18" i="1"/>
  <c r="G19" i="1"/>
  <c r="J19" i="1" s="1"/>
  <c r="K19" i="1" s="1"/>
  <c r="G20" i="1"/>
  <c r="G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F27" i="2" a="1"/>
  <c r="E25" i="2"/>
  <c r="I7" i="1" l="1"/>
  <c r="J7" i="1" s="1"/>
  <c r="J9" i="1"/>
  <c r="K9" i="1" s="1"/>
  <c r="J15" i="1"/>
  <c r="K15" i="1" s="1"/>
  <c r="J12" i="1"/>
  <c r="K12" i="1" s="1"/>
  <c r="J13" i="1"/>
  <c r="K13" i="1" s="1"/>
  <c r="J20" i="1"/>
  <c r="K20" i="1" s="1"/>
  <c r="J8" i="1"/>
  <c r="K8" i="1" s="1"/>
  <c r="F23" i="2"/>
  <c r="J16" i="1"/>
  <c r="K16" i="1" s="1"/>
  <c r="J18" i="1"/>
  <c r="K18" i="1" s="1"/>
  <c r="F26" i="2" l="1"/>
  <c r="K7" i="1"/>
  <c r="F15" i="2" s="1"/>
  <c r="F21" i="2" l="1"/>
  <c r="F19" i="2"/>
  <c r="F18" i="2"/>
  <c r="F17" i="2"/>
  <c r="F20" i="2"/>
  <c r="F14" i="2"/>
  <c r="F1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<sst xmlns="http://schemas.openxmlformats.org/spreadsheetml/2006/main" count="313" uniqueCount="131">
  <si>
    <r>
      <t xml:space="preserve">             </t>
    </r>
    <r>
      <rPr>
        <b/>
        <sz val="16"/>
        <color theme="1"/>
        <rFont val="Times New Roman"/>
        <family val="1"/>
      </rPr>
      <t xml:space="preserve">  </t>
    </r>
    <r>
      <rPr>
        <b/>
        <sz val="14"/>
        <color theme="1"/>
        <rFont val="Times New Roman"/>
        <family val="1"/>
      </rPr>
      <t>ĐIỂM THI HK1-2018-2019 (CT428)</t>
    </r>
  </si>
  <si>
    <t>Ma CB</t>
  </si>
  <si>
    <t>Ma MH</t>
  </si>
  <si>
    <t xml:space="preserve">Nam Hoc </t>
  </si>
  <si>
    <t>CT428</t>
  </si>
  <si>
    <t>Ho va ten</t>
  </si>
  <si>
    <t>Ma NH</t>
  </si>
  <si>
    <t>Hoc Ky</t>
  </si>
  <si>
    <t xml:space="preserve">Nguyen Minh Trung </t>
  </si>
  <si>
    <t>STT</t>
  </si>
  <si>
    <t>Mã SV</t>
  </si>
  <si>
    <t xml:space="preserve">Họ vàTên </t>
  </si>
  <si>
    <t>Điểm TH 3</t>
  </si>
  <si>
    <t>Điểm TH 1</t>
  </si>
  <si>
    <t xml:space="preserve">Điểm TH 2 </t>
  </si>
  <si>
    <t>Điểm LT</t>
  </si>
  <si>
    <t>Điểm Tổng</t>
  </si>
  <si>
    <t xml:space="preserve">Điểm theo thang điểm 10 </t>
  </si>
  <si>
    <t xml:space="preserve">Điễm chữ </t>
  </si>
  <si>
    <t>Điểm TB Lớn</t>
  </si>
  <si>
    <t>2020-2021</t>
  </si>
  <si>
    <t>Lý Minh Trí</t>
  </si>
  <si>
    <t>Nguyễn Kiều Mi</t>
  </si>
  <si>
    <t>Đặng Duy Linh</t>
  </si>
  <si>
    <t>Lê Thị Trúc Linh</t>
  </si>
  <si>
    <t>Phạm Thị Huỳnh</t>
  </si>
  <si>
    <t>Lê Minh Thông</t>
  </si>
  <si>
    <t>Trần Thanh Nguyên</t>
  </si>
  <si>
    <t>Nguyễn Hải Anh</t>
  </si>
  <si>
    <t>Trần Nam Dương</t>
  </si>
  <si>
    <t>Nguyễn Duy Khanh</t>
  </si>
  <si>
    <t>Nguyễn Văn Hiếu</t>
  </si>
  <si>
    <t>Huỳnh Thị Diễm</t>
  </si>
  <si>
    <t>Nguyễn Thị Đào</t>
  </si>
  <si>
    <t>Nguyễn Chí Thanh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</si>
  <si>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</si>
  <si>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</si>
  <si>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</si>
  <si>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</si>
  <si>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</si>
  <si>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</si>
  <si>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</si>
  <si>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</si>
  <si>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</si>
  <si>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</si>
  <si>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</si>
  <si>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</si>
  <si>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</si>
  <si>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</si>
  <si>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Số SV nghĩ TH&gt;2</t>
  </si>
  <si>
    <t>B1609773</t>
  </si>
  <si>
    <t>B1609765</t>
  </si>
  <si>
    <t>lớn = 0 hoặc điểm LT</t>
  </si>
  <si>
    <t xml:space="preserve">Nguyễn Văn Hiếu </t>
  </si>
  <si>
    <t>B1609759</t>
  </si>
  <si>
    <t>Số sinh viên điểm BT</t>
  </si>
  <si>
    <t>B1607025</t>
  </si>
  <si>
    <t xml:space="preserve">Bảng thống kê sinh viên </t>
  </si>
  <si>
    <t>B1605344</t>
  </si>
  <si>
    <t>B1605291</t>
  </si>
  <si>
    <t>F</t>
  </si>
  <si>
    <t>B1605285</t>
  </si>
  <si>
    <t xml:space="preserve">D </t>
  </si>
  <si>
    <t>B1605249</t>
  </si>
  <si>
    <t>D+</t>
  </si>
  <si>
    <t>B1605235</t>
  </si>
  <si>
    <t xml:space="preserve">C </t>
  </si>
  <si>
    <t>B1605223</t>
  </si>
  <si>
    <t>C+</t>
  </si>
  <si>
    <t>B1509929</t>
  </si>
  <si>
    <t xml:space="preserve">B </t>
  </si>
  <si>
    <t>B1509874</t>
  </si>
  <si>
    <t>B+</t>
  </si>
  <si>
    <t>B1505915</t>
  </si>
  <si>
    <t>A</t>
  </si>
  <si>
    <t>B1505719</t>
  </si>
  <si>
    <t>Số lượng sinh viên</t>
  </si>
  <si>
    <t xml:space="preserve">Điểm chữ </t>
  </si>
  <si>
    <t xml:space="preserve">Họ và Tên </t>
  </si>
  <si>
    <t>Bảng thống kê theo điểm chữ</t>
  </si>
  <si>
    <t xml:space="preserve">Danh sách sinh viên </t>
  </si>
  <si>
    <t>B</t>
  </si>
  <si>
    <t>C</t>
  </si>
  <si>
    <t>D</t>
  </si>
  <si>
    <t>Điểm CT</t>
  </si>
  <si>
    <t>Số buổi vắng</t>
  </si>
  <si>
    <t>Điểm theo thang điểm 4</t>
  </si>
  <si>
    <t>Điểm theo thang điểm 10</t>
  </si>
  <si>
    <t xml:space="preserve">Bảng điểm chuyên cần </t>
  </si>
  <si>
    <t xml:space="preserve">Bảng quy đổi điểm </t>
  </si>
  <si>
    <t>Số SV có Điểm thang 10 &gt;= 7 và có Điểm chữ là B+ hoặc A</t>
  </si>
  <si>
    <t>1 </t>
  </si>
  <si>
    <t>Điểm thực hành các buổi</t>
  </si>
  <si>
    <t>2 </t>
  </si>
  <si>
    <t>STT </t>
  </si>
  <si>
    <t>Mã SV </t>
  </si>
  <si>
    <t>Họ và tên </t>
  </si>
  <si>
    <t>Điểm TH 1 </t>
  </si>
  <si>
    <t>Điểm TH 2 </t>
  </si>
  <si>
    <t>3 </t>
  </si>
  <si>
    <t>Nguyễn Văn Hiếu </t>
  </si>
  <si>
    <t>4 </t>
  </si>
  <si>
    <t>Lý Minh Trí </t>
  </si>
  <si>
    <t>5 </t>
  </si>
  <si>
    <t>Nguyễn Kiều Mi </t>
  </si>
  <si>
    <t>6 </t>
  </si>
  <si>
    <t>Đặng Duy Linh </t>
  </si>
  <si>
    <t>7 </t>
  </si>
  <si>
    <t>Lê Thị Trúc Linh </t>
  </si>
  <si>
    <t>8 </t>
  </si>
  <si>
    <t>Phạm Thị Huỳnh </t>
  </si>
  <si>
    <t>9 </t>
  </si>
  <si>
    <t>Lê Minh Thông </t>
  </si>
  <si>
    <t>10 </t>
  </si>
  <si>
    <t>Huỳnh Thị Diễm </t>
  </si>
  <si>
    <t>11 </t>
  </si>
  <si>
    <t>Trần Thanh Nguyên </t>
  </si>
  <si>
    <t>12 </t>
  </si>
  <si>
    <t>Nguyễn Thị Đào </t>
  </si>
  <si>
    <t>13 </t>
  </si>
  <si>
    <t>Nguyễn Chí Thanh </t>
  </si>
  <si>
    <t>14 </t>
  </si>
  <si>
    <t>Nguyễn Hải Anh </t>
  </si>
  <si>
    <t>Trần Nam Dương </t>
  </si>
  <si>
    <t>Nguyễn Duy Khanh </t>
  </si>
  <si>
    <t>Điểm bài tập lớn</t>
  </si>
  <si>
    <t>Điểm TH1</t>
  </si>
  <si>
    <t>Điểm BT lớn</t>
  </si>
  <si>
    <t>Điểmlýthuyết</t>
  </si>
  <si>
    <t>MãSV </t>
  </si>
  <si>
    <t>HọvàTên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</si>
</sst>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3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Aptos Narrow"/>
      <family val="2"/>
      <charset val="163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ptos Narrow"/>
      <family val="2"/>
      <charset val="163"/>
      <scheme val="minor"/>
    </font>
    <font>
      <b/>
      <sz val="14"/>
      <color theme="4" tint="-0.249977111117893"/>
      <name val="Times New Roman"/>
      <family val="1"/>
    </font>
    <font>
      <b/>
      <sz val="12"/>
      <color theme="4" tint="-0.249977111117893"/>
      <name val="Times New Roman"/>
      <family val="1"/>
    </font>
    <font>
      <sz val="14"/>
      <color theme="1"/>
      <name val="Aptos Narrow"/>
      <family val="2"/>
      <charset val="163"/>
      <scheme val="minor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4"/>
      <color theme="3" tint="9.9978637043366805E-2"/>
      <name val="Times New Roman"/>
      <family val="1"/>
    </font>
    <font>
      <b/>
      <sz val="12"/>
      <color theme="3" tint="9.9978637043366805E-2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top" wrapText="1"/>
    </xf>
    <xf numFmtId="0" fontId="1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vertical="center" wrapText="1"/>
    </xf>
    <xf numFmtId="0" fontId="12" fillId="0" borderId="8" xfId="0" applyFont="1" applyBorder="1" applyAlignment="1">
      <alignment horizontal="left" vertical="center" wrapText="1" indent="1"/>
    </xf>
    <xf numFmtId="0" fontId="15" fillId="3" borderId="8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4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Thống kê tổng số lượng Sinh viên theo điểm chữ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0.2689899000884558"/>
          <c:y val="0.23991718426501035"/>
          <c:w val="0.38342541436464089"/>
          <c:h val="0.68968944099378882"/>
        </c:manualLayout>
      </c:layout>
      <c:pieChart>
        <c:varyColors val="1"/>
        <c:ser>
          <c:idx val="0"/>
          <c:order val="0"/>
          <c:tx>
            <c:strRef>
              <c:f>'Bảng tham chiếu &amp; thống kê'!$F$13</c:f>
              <c:strCache>
                <c:ptCount val="1"/>
                <c:pt idx="0">
                  <c:v>Số lượng sinh viên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8E44-4B56-81E7-2032BF86F4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E44-4B56-81E7-2032BF86F4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E44-4B56-81E7-2032BF86F4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8E44-4B56-81E7-2032BF86F4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E44-4B56-81E7-2032BF86F4A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E44-4B56-81E7-2032BF86F4A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E44-4B56-81E7-2032BF86F4A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E44-4B56-81E7-2032BF86F4A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E44-4B56-81E7-2032BF86F4A9}"/>
                </c:ext>
              </c:extLst>
            </c:dLbl>
            <c:dLbl>
              <c:idx val="1"/>
              <c:layout>
                <c:manualLayout>
                  <c:x val="-6.8686467713635249E-2"/>
                  <c:y val="0.12058068828352977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E44-4B56-81E7-2032BF86F4A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E44-4B56-81E7-2032BF86F4A9}"/>
                </c:ext>
              </c:extLst>
            </c:dLbl>
            <c:dLbl>
              <c:idx val="3"/>
              <c:layout>
                <c:manualLayout>
                  <c:x val="-0.1189121387450878"/>
                  <c:y val="-3.619960548409717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E44-4B56-81E7-2032BF86F4A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44-4B56-81E7-2032BF86F4A9}"/>
                </c:ext>
              </c:extLst>
            </c:dLbl>
            <c:dLbl>
              <c:idx val="5"/>
              <c:layout>
                <c:manualLayout>
                  <c:x val="-4.6049578747407952E-3"/>
                  <c:y val="-0.120238339772745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E44-4B56-81E7-2032BF86F4A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44-4B56-81E7-2032BF86F4A9}"/>
                </c:ext>
              </c:extLst>
            </c:dLbl>
            <c:dLbl>
              <c:idx val="7"/>
              <c:layout>
                <c:manualLayout>
                  <c:x val="0.1143064558228564"/>
                  <c:y val="4.862229177874504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44-4B56-81E7-2032BF86F4A9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 </c:v>
                </c:pt>
                <c:pt idx="3">
                  <c:v>C+</c:v>
                </c:pt>
                <c:pt idx="4">
                  <c:v>C </c:v>
                </c:pt>
                <c:pt idx="5">
                  <c:v>D+</c:v>
                </c:pt>
                <c:pt idx="6">
                  <c:v>D </c:v>
                </c:pt>
                <c:pt idx="7">
                  <c:v>F</c:v>
                </c:pt>
              </c:strCache>
            </c:strRef>
          </c:cat>
          <c:val>
            <c:numRef>
              <c:f>'Bảng tham chiếu &amp; thống kê'!$F$14:$F$21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4-4B56-81E7-2032BF86F4A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0</xdr:rowOff>
    </xdr:from>
    <xdr:to>
      <xdr:col>15</xdr:col>
      <xdr:colOff>38100</xdr:colOff>
      <xdr:row>13</xdr:row>
      <xdr:rowOff>194310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57B5A6-823A-F65D-AE69-6E6EFD6CA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&#225;c%20b&#7843;ng%20tham%20chi&#7871;u%20&amp;%20Th&#7889;ng%20k&#23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A3">
            <v>0</v>
          </cell>
          <cell r="B3" t="str">
            <v>F</v>
          </cell>
        </row>
        <row r="4">
          <cell r="A4">
            <v>4</v>
          </cell>
          <cell r="B4" t="str">
            <v>D</v>
          </cell>
        </row>
        <row r="5">
          <cell r="A5">
            <v>5</v>
          </cell>
          <cell r="B5" t="str">
            <v>D+</v>
          </cell>
        </row>
        <row r="6">
          <cell r="A6">
            <v>5.5</v>
          </cell>
          <cell r="B6" t="str">
            <v>C</v>
          </cell>
        </row>
        <row r="7">
          <cell r="A7">
            <v>6.5</v>
          </cell>
          <cell r="B7" t="str">
            <v>C+</v>
          </cell>
        </row>
        <row r="8">
          <cell r="A8">
            <v>7</v>
          </cell>
          <cell r="B8" t="str">
            <v>B</v>
          </cell>
        </row>
        <row r="9">
          <cell r="A9">
            <v>8</v>
          </cell>
          <cell r="B9" t="str">
            <v>B+</v>
          </cell>
        </row>
        <row r="10">
          <cell r="A10">
            <v>9</v>
          </cell>
          <cell r="B10" t="str">
            <v>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ADD57-BE04-4A48-A554-FBEF7DC9CB32}">
  <dimension ref="A1:N22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L10" sqref="L10"/>
    </sheetView>
  </sheetViews>
  <sheetFormatPr defaultRowHeight="14.4" x14ac:dyDescent="0.3"/>
  <cols>
    <col min="1" max="1" width="5.109375" style="3" customWidth="1"/>
    <col min="2" max="2" width="14" customWidth="1"/>
    <col min="3" max="3" width="18.88671875" customWidth="1"/>
    <col min="4" max="8" width="8" customWidth="1"/>
    <col min="9" max="9" width="10.109375" customWidth="1"/>
    <col min="10" max="10" width="11" customWidth="1"/>
    <col min="11" max="11" width="8" customWidth="1"/>
  </cols>
  <sheetData>
    <row r="1" spans="1:14" ht="21" x14ac:dyDescent="0.4">
      <c r="A1" s="1"/>
      <c r="B1" s="2" t="s">
        <v>0</v>
      </c>
      <c r="C1" s="2"/>
      <c r="D1" s="2"/>
      <c r="E1" s="2"/>
      <c r="F1" s="2"/>
      <c r="G1" s="2"/>
      <c r="H1" s="2"/>
      <c r="M1" s="18"/>
      <c r="N1" s="18"/>
    </row>
    <row r="2" spans="1:14" s="6" customFormat="1" ht="15.6" x14ac:dyDescent="0.3">
      <c r="A2" s="9"/>
      <c r="B2" s="7" t="s">
        <v>1</v>
      </c>
      <c r="C2" s="8">
        <v>1043</v>
      </c>
      <c r="D2" s="33" t="s">
        <v>5</v>
      </c>
      <c r="E2" s="33"/>
      <c r="F2" s="33" t="s">
        <v>8</v>
      </c>
      <c r="G2" s="33"/>
      <c r="H2" s="33"/>
    </row>
    <row r="3" spans="1:14" s="6" customFormat="1" ht="15.6" x14ac:dyDescent="0.3">
      <c r="A3" s="9"/>
      <c r="B3" s="6" t="s">
        <v>2</v>
      </c>
      <c r="C3" s="6" t="s">
        <v>4</v>
      </c>
      <c r="D3" s="33" t="s">
        <v>6</v>
      </c>
      <c r="E3" s="33"/>
      <c r="F3" s="33">
        <v>8</v>
      </c>
      <c r="G3" s="33"/>
      <c r="H3" s="33"/>
    </row>
    <row r="4" spans="1:14" s="6" customFormat="1" ht="15.6" x14ac:dyDescent="0.3">
      <c r="A4" s="9"/>
      <c r="B4" s="6" t="s">
        <v>3</v>
      </c>
      <c r="C4" s="6" t="s">
        <v>20</v>
      </c>
      <c r="D4" s="33" t="s">
        <v>7</v>
      </c>
      <c r="E4" s="33"/>
      <c r="F4" s="33">
        <v>1</v>
      </c>
      <c r="G4" s="33"/>
      <c r="H4" s="33"/>
    </row>
    <row r="6" spans="1:14" s="5" customFormat="1" ht="59.4" customHeight="1" x14ac:dyDescent="0.3">
      <c r="A6" s="4" t="s">
        <v>9</v>
      </c>
      <c r="B6" s="4" t="s">
        <v>10</v>
      </c>
      <c r="C6" s="5" t="s">
        <v>11</v>
      </c>
      <c r="D6" s="4" t="s">
        <v>126</v>
      </c>
      <c r="E6" s="4" t="s">
        <v>14</v>
      </c>
      <c r="F6" s="4" t="s">
        <v>12</v>
      </c>
      <c r="G6" s="4" t="s">
        <v>19</v>
      </c>
      <c r="H6" s="4" t="s">
        <v>15</v>
      </c>
      <c r="I6" s="4" t="s">
        <v>16</v>
      </c>
      <c r="J6" s="4" t="s">
        <v>17</v>
      </c>
      <c r="K6" s="4" t="s">
        <v>18</v>
      </c>
    </row>
    <row r="7" spans="1:14" s="7" customFormat="1" ht="15.6" x14ac:dyDescent="0.3">
      <c r="A7" s="11">
        <v>1</v>
      </c>
      <c r="B7" s="11" t="s">
        <v>35</v>
      </c>
      <c r="C7" s="10" t="s">
        <v>31</v>
      </c>
      <c r="D7" s="29">
        <f>VLOOKUP(RIGHT(B7,8),'Điểm thực hành các buổi'!$B$3:$F$16,3,0)</f>
        <v>0.45</v>
      </c>
      <c r="E7" s="29">
        <f>VLOOKUP(RIGHT(B7,8),'Điểm thực hành các buổi'!B2:F16,4,0)</f>
        <v>0.25</v>
      </c>
      <c r="F7" s="29">
        <f>VLOOKUP(RIGHT(B7,8),'Điểm thực hành các buổi'!B2:F16,5,0)</f>
        <v>0.3</v>
      </c>
      <c r="G7" s="29">
        <f>VLOOKUP(RIGHT(B7,8),'Điểm bài tập lớn'!B2:D16,3,0)</f>
        <v>0.5</v>
      </c>
      <c r="H7" s="29">
        <f>VLOOKUP(RIGHT(B7,8),'Điểm lý thuyết'!B2:D16,3,FALSE)</f>
        <v>4.2</v>
      </c>
      <c r="I7" s="11">
        <f>ROUND(IF(H7 = -3, 0, SUM(D7:G7) + 0.6 * H7), 1)</f>
        <v>4</v>
      </c>
      <c r="J7" s="11">
        <f>ROUND(IF(OR(G7=0, LEFT(B7, 1)&gt;"2"), 0, I7 + IF(LEFT(B7, 1)="0", 1, IF(LEFT(B7, 1)="1", 0.5, 0.25))), 1)</f>
        <v>5</v>
      </c>
      <c r="K7" s="11" t="str">
        <f>VLOOKUP(J7, [1]Sheet1!$A$3:$B$10, 2, TRUE)</f>
        <v>D+</v>
      </c>
    </row>
    <row r="8" spans="1:14" s="7" customFormat="1" ht="15.6" x14ac:dyDescent="0.3">
      <c r="A8" s="11">
        <v>2</v>
      </c>
      <c r="B8" s="11" t="s">
        <v>36</v>
      </c>
      <c r="C8" s="10" t="s">
        <v>21</v>
      </c>
      <c r="D8" s="11">
        <f>VLOOKUP(RIGHT(B8,8),'Điểm thực hành các buổi'!$B$3:$F$16,3,0)</f>
        <v>0.5</v>
      </c>
      <c r="E8" s="11">
        <f>VLOOKUP(RIGHT(B8,8),'Điểm thực hành các buổi'!B3:F17,4,0)</f>
        <v>0.35</v>
      </c>
      <c r="F8" s="11">
        <f>VLOOKUP(RIGHT(B8,8),'Điểm thực hành các buổi'!B3:F17,5,0)</f>
        <v>0.4</v>
      </c>
      <c r="G8" s="11">
        <f>VLOOKUP(RIGHT(B8,8),'Điểm bài tập lớn'!B3:D17,3,0)</f>
        <v>1</v>
      </c>
      <c r="H8" s="11">
        <f>VLOOKUP(RIGHT(B8,8),'Điểm lý thuyết'!B3:D17,3,FALSE)</f>
        <v>5.8</v>
      </c>
      <c r="I8" s="11">
        <f t="shared" ref="I8:I20" si="0">ROUND(IF(H8 = -3, 0, SUM(D8:G8) + 0.6 * H8), 1)</f>
        <v>5.7</v>
      </c>
      <c r="J8" s="11">
        <f t="shared" ref="J8:J20" si="1">ROUND(IF(OR(G8=0, LEFT(B8, 1)&gt;"2"), 0, I8 + IF(LEFT(B8, 1)="0", 1, IF(LEFT(B8, 1)="1", 0.5, 0.25))), 1)</f>
        <v>6.2</v>
      </c>
      <c r="K8" s="11" t="str">
        <f>VLOOKUP(J8, [1]Sheet1!$A$3:$B$10, 2, TRUE)</f>
        <v>C</v>
      </c>
    </row>
    <row r="9" spans="1:14" s="7" customFormat="1" ht="15.6" x14ac:dyDescent="0.3">
      <c r="A9" s="11">
        <v>3</v>
      </c>
      <c r="B9" s="11" t="s">
        <v>37</v>
      </c>
      <c r="C9" s="10" t="s">
        <v>22</v>
      </c>
      <c r="D9" s="11">
        <f>VLOOKUP(RIGHT(B9,8),'Điểm thực hành các buổi'!$B$3:$F$16,3,0)</f>
        <v>0.25</v>
      </c>
      <c r="E9" s="11">
        <f>VLOOKUP(RIGHT(B9,8),'Điểm thực hành các buổi'!B4:F18,4,0)</f>
        <v>0.25</v>
      </c>
      <c r="F9" s="11">
        <f>VLOOKUP(RIGHT(B9,8),'Điểm thực hành các buổi'!B4:F18,5,0)</f>
        <v>0.3</v>
      </c>
      <c r="G9" s="11">
        <f>VLOOKUP(RIGHT(B9,8),'Điểm bài tập lớn'!B4:D18,3,0)</f>
        <v>0.5</v>
      </c>
      <c r="H9" s="11">
        <f>VLOOKUP(RIGHT(B9,8),'Điểm lý thuyết'!B4:D18,3,FALSE)</f>
        <v>5.8</v>
      </c>
      <c r="I9" s="11">
        <f t="shared" si="0"/>
        <v>4.8</v>
      </c>
      <c r="J9" s="11">
        <f t="shared" si="1"/>
        <v>5.8</v>
      </c>
      <c r="K9" s="11" t="str">
        <f>VLOOKUP(J9, [1]Sheet1!$A$3:$B$10, 2, TRUE)</f>
        <v>C</v>
      </c>
    </row>
    <row r="10" spans="1:14" s="7" customFormat="1" ht="15.6" x14ac:dyDescent="0.3">
      <c r="A10" s="11">
        <v>4</v>
      </c>
      <c r="B10" s="11" t="s">
        <v>38</v>
      </c>
      <c r="C10" s="10" t="s">
        <v>23</v>
      </c>
      <c r="D10" s="11">
        <f>VLOOKUP(RIGHT(B10,8),'Điểm thực hành các buổi'!$B$3:$F$16,3,0)</f>
        <v>0.4</v>
      </c>
      <c r="E10" s="11">
        <f>VLOOKUP(RIGHT(B10,8),'Điểm thực hành các buổi'!B5:F19,4,0)</f>
        <v>0.25</v>
      </c>
      <c r="F10" s="11">
        <f>VLOOKUP(RIGHT(B10,8),'Điểm thực hành các buổi'!B5:F19,5,0)</f>
        <v>0.35</v>
      </c>
      <c r="G10" s="11">
        <f>VLOOKUP(RIGHT(B10,8),'Điểm bài tập lớn'!B5:D19,3,0)</f>
        <v>1</v>
      </c>
      <c r="H10" s="11">
        <f>VLOOKUP(RIGHT(B10,8),'Điểm lý thuyết'!B5:D19,3,FALSE)</f>
        <v>4.5</v>
      </c>
      <c r="I10" s="11">
        <f t="shared" si="0"/>
        <v>4.7</v>
      </c>
      <c r="J10" s="11">
        <f t="shared" si="1"/>
        <v>5.7</v>
      </c>
      <c r="K10" s="11" t="str">
        <f>VLOOKUP(J10, [1]Sheet1!$A$3:$B$10, 2, TRUE)</f>
        <v>C</v>
      </c>
    </row>
    <row r="11" spans="1:14" s="7" customFormat="1" ht="15.6" x14ac:dyDescent="0.3">
      <c r="A11" s="11">
        <v>5</v>
      </c>
      <c r="B11" s="11" t="s">
        <v>39</v>
      </c>
      <c r="C11" s="10" t="s">
        <v>24</v>
      </c>
      <c r="D11" s="11">
        <f>VLOOKUP(RIGHT(B11,8),'Điểm thực hành các buổi'!$B$3:$F$16,3,0)</f>
        <v>0.45</v>
      </c>
      <c r="E11" s="11">
        <f>VLOOKUP(RIGHT(B11,8),'Điểm thực hành các buổi'!B6:F20,4,0)</f>
        <v>0.4</v>
      </c>
      <c r="F11" s="11">
        <f>VLOOKUP(RIGHT(B11,8),'Điểm thực hành các buổi'!B6:F20,5,0)</f>
        <v>0.35</v>
      </c>
      <c r="G11" s="11">
        <f>VLOOKUP(RIGHT(B11,8),'Điểm bài tập lớn'!B6:D20,3,0)</f>
        <v>0.75</v>
      </c>
      <c r="H11" s="11">
        <f>VLOOKUP(RIGHT(B11,8),'Điểm lý thuyết'!B6:D20,3,FALSE)</f>
        <v>5.5</v>
      </c>
      <c r="I11" s="11">
        <f t="shared" si="0"/>
        <v>5.3</v>
      </c>
      <c r="J11" s="11">
        <f t="shared" si="1"/>
        <v>5.6</v>
      </c>
      <c r="K11" s="11" t="str">
        <f>VLOOKUP(J11, [1]Sheet1!$A$3:$B$10, 2, TRUE)</f>
        <v>C</v>
      </c>
    </row>
    <row r="12" spans="1:14" s="7" customFormat="1" ht="15.6" x14ac:dyDescent="0.3">
      <c r="A12" s="11">
        <v>6</v>
      </c>
      <c r="B12" s="11" t="s">
        <v>40</v>
      </c>
      <c r="C12" s="10" t="s">
        <v>25</v>
      </c>
      <c r="D12" s="11">
        <f>VLOOKUP(RIGHT(B12,8),'Điểm thực hành các buổi'!$B$3:$F$16,3,0)</f>
        <v>0.4</v>
      </c>
      <c r="E12" s="11">
        <f>VLOOKUP(RIGHT(B12,8),'Điểm thực hành các buổi'!B7:F21,4,0)</f>
        <v>0.45</v>
      </c>
      <c r="F12" s="11">
        <f>VLOOKUP(RIGHT(B12,8),'Điểm thực hành các buổi'!B7:F21,5,0)</f>
        <v>0.5</v>
      </c>
      <c r="G12" s="11">
        <f>VLOOKUP(RIGHT(B12,8),'Điểm bài tập lớn'!B7:D21,3,0)</f>
        <v>1.2</v>
      </c>
      <c r="H12" s="11">
        <f>VLOOKUP(RIGHT(B12,8),'Điểm lý thuyết'!B7:D21,3,FALSE)</f>
        <v>7.5</v>
      </c>
      <c r="I12" s="11">
        <f t="shared" si="0"/>
        <v>7.1</v>
      </c>
      <c r="J12" s="11">
        <f t="shared" si="1"/>
        <v>8.1</v>
      </c>
      <c r="K12" s="11" t="str">
        <f>VLOOKUP(J12, [1]Sheet1!$A$3:$B$10, 2, TRUE)</f>
        <v>B+</v>
      </c>
    </row>
    <row r="13" spans="1:14" s="7" customFormat="1" ht="15.6" x14ac:dyDescent="0.3">
      <c r="A13" s="11">
        <v>7</v>
      </c>
      <c r="B13" s="11" t="s">
        <v>41</v>
      </c>
      <c r="C13" s="10" t="s">
        <v>26</v>
      </c>
      <c r="D13" s="11">
        <f>VLOOKUP(RIGHT(B13,8),'Điểm thực hành các buổi'!$B$3:$F$16,3,0)</f>
        <v>0.4</v>
      </c>
      <c r="E13" s="11">
        <f>VLOOKUP(RIGHT(B13,8),'Điểm thực hành các buổi'!B8:F22,4,0)</f>
        <v>0.4</v>
      </c>
      <c r="F13" s="11">
        <f>VLOOKUP(RIGHT(B13,8),'Điểm thực hành các buổi'!B8:F22,5,0)</f>
        <v>0.4</v>
      </c>
      <c r="G13" s="11">
        <f>VLOOKUP(RIGHT(B13,8),'Điểm bài tập lớn'!B8:D22,3,0)</f>
        <v>1</v>
      </c>
      <c r="H13" s="11">
        <f>VLOOKUP(RIGHT(B13,8),'Điểm lý thuyết'!B8:D22,3,FALSE)</f>
        <v>5.3</v>
      </c>
      <c r="I13" s="11">
        <f t="shared" si="0"/>
        <v>5.4</v>
      </c>
      <c r="J13" s="11">
        <f t="shared" si="1"/>
        <v>6.4</v>
      </c>
      <c r="K13" s="11" t="str">
        <f>VLOOKUP(J13, [1]Sheet1!$A$3:$B$10, 2, TRUE)</f>
        <v>C</v>
      </c>
    </row>
    <row r="14" spans="1:14" s="7" customFormat="1" ht="15.6" x14ac:dyDescent="0.3">
      <c r="A14" s="11">
        <v>8</v>
      </c>
      <c r="B14" s="11" t="s">
        <v>42</v>
      </c>
      <c r="C14" s="10" t="s">
        <v>32</v>
      </c>
      <c r="D14" s="11">
        <f>VLOOKUP(RIGHT(B14,8),'Điểm thực hành các buổi'!$B$3:$F$16,3,0)</f>
        <v>0.45</v>
      </c>
      <c r="E14" s="11">
        <f>VLOOKUP(RIGHT(B14,8),'Điểm thực hành các buổi'!B9:F23,4,0)</f>
        <v>0.4</v>
      </c>
      <c r="F14" s="11">
        <f>VLOOKUP(RIGHT(B14,8),'Điểm thực hành các buổi'!B9:F23,5,0)</f>
        <v>0.45</v>
      </c>
      <c r="G14" s="11">
        <f>VLOOKUP(RIGHT(B14,8),'Điểm bài tập lớn'!B9:D23,3,0)</f>
        <v>0</v>
      </c>
      <c r="H14" s="11">
        <f>VLOOKUP(RIGHT(B14,8),'Điểm lý thuyết'!B9:D23,3,FALSE)</f>
        <v>6.8</v>
      </c>
      <c r="I14" s="11">
        <f t="shared" si="0"/>
        <v>5.4</v>
      </c>
      <c r="J14" s="11">
        <f t="shared" si="1"/>
        <v>0</v>
      </c>
      <c r="K14" s="11" t="str">
        <f>VLOOKUP(J14, [1]Sheet1!$A$3:$B$10, 2, TRUE)</f>
        <v>F</v>
      </c>
    </row>
    <row r="15" spans="1:14" s="7" customFormat="1" ht="15.6" x14ac:dyDescent="0.3">
      <c r="A15" s="11">
        <v>9</v>
      </c>
      <c r="B15" s="11" t="s">
        <v>43</v>
      </c>
      <c r="C15" s="10" t="s">
        <v>27</v>
      </c>
      <c r="D15" s="11">
        <f>VLOOKUP(RIGHT(B15,8),'Điểm thực hành các buổi'!$B$3:$F$16,3,0)</f>
        <v>0.45</v>
      </c>
      <c r="E15" s="11">
        <f>VLOOKUP(RIGHT(B15,8),'Điểm thực hành các buổi'!B10:F24,4,0)</f>
        <v>0.4</v>
      </c>
      <c r="F15" s="11">
        <f>VLOOKUP(RIGHT(B15,8),'Điểm thực hành các buổi'!B10:F24,5,0)</f>
        <v>0.4</v>
      </c>
      <c r="G15" s="11">
        <f>VLOOKUP(RIGHT(B15,8),'Điểm bài tập lớn'!B10:D24,3,0)</f>
        <v>0.75</v>
      </c>
      <c r="H15" s="11">
        <f>VLOOKUP(RIGHT(B15,8),'Điểm lý thuyết'!B10:D24,3,FALSE)</f>
        <v>6.3</v>
      </c>
      <c r="I15" s="11">
        <f t="shared" si="0"/>
        <v>5.8</v>
      </c>
      <c r="J15" s="11">
        <f t="shared" si="1"/>
        <v>6.8</v>
      </c>
      <c r="K15" s="11" t="str">
        <f>VLOOKUP(J15, [1]Sheet1!$A$3:$B$10, 2, TRUE)</f>
        <v>C+</v>
      </c>
    </row>
    <row r="16" spans="1:14" s="7" customFormat="1" ht="15.6" x14ac:dyDescent="0.3">
      <c r="A16" s="11">
        <v>10</v>
      </c>
      <c r="B16" s="11" t="s">
        <v>44</v>
      </c>
      <c r="C16" s="10" t="s">
        <v>33</v>
      </c>
      <c r="D16" s="11">
        <f>VLOOKUP(RIGHT(B16,8),'Điểm thực hành các buổi'!$B$3:$F$16,3,0)</f>
        <v>0.3</v>
      </c>
      <c r="E16" s="11">
        <f>VLOOKUP(RIGHT(B16,8),'Điểm thực hành các buổi'!B11:F25,4,0)</f>
        <v>0.5</v>
      </c>
      <c r="F16" s="11">
        <f>VLOOKUP(RIGHT(B16,8),'Điểm thực hành các buổi'!B11:F25,5,0)</f>
        <v>0.45</v>
      </c>
      <c r="G16" s="11">
        <f>VLOOKUP(RIGHT(B16,8),'Điểm bài tập lớn'!B11:D25,3,0)</f>
        <v>0.3</v>
      </c>
      <c r="H16" s="11">
        <f>VLOOKUP(RIGHT(B16,8),'Điểm lý thuyết'!B11:D25,3,FALSE)</f>
        <v>8.3000000000000007</v>
      </c>
      <c r="I16" s="11">
        <f t="shared" si="0"/>
        <v>6.5</v>
      </c>
      <c r="J16" s="11">
        <f t="shared" si="1"/>
        <v>7</v>
      </c>
      <c r="K16" s="11" t="str">
        <f>VLOOKUP(J16, [1]Sheet1!$A$3:$B$10, 2, TRUE)</f>
        <v>B</v>
      </c>
    </row>
    <row r="17" spans="1:11" s="7" customFormat="1" ht="15.6" x14ac:dyDescent="0.3">
      <c r="A17" s="11">
        <v>11</v>
      </c>
      <c r="B17" s="11" t="s">
        <v>45</v>
      </c>
      <c r="C17" s="10" t="s">
        <v>34</v>
      </c>
      <c r="D17" s="11">
        <f>VLOOKUP(RIGHT(B17,8),'Điểm thực hành các buổi'!$B$3:$F$16,3,0)</f>
        <v>0.4</v>
      </c>
      <c r="E17" s="11">
        <f>VLOOKUP(RIGHT(B17,8),'Điểm thực hành các buổi'!B12:F26,4,0)</f>
        <v>0.45</v>
      </c>
      <c r="F17" s="11">
        <f>VLOOKUP(RIGHT(B17,8),'Điểm thực hành các buổi'!B12:F26,5,0)</f>
        <v>0.4</v>
      </c>
      <c r="G17" s="11">
        <f>VLOOKUP(RIGHT(B17,8),'Điểm bài tập lớn'!B12:D26,3,0)</f>
        <v>0.3</v>
      </c>
      <c r="H17" s="11">
        <f>VLOOKUP(RIGHT(B17,8),'Điểm lý thuyết'!B12:D26,3,FALSE)</f>
        <v>-3</v>
      </c>
      <c r="I17" s="11">
        <f t="shared" si="0"/>
        <v>0</v>
      </c>
      <c r="J17" s="11">
        <f t="shared" si="1"/>
        <v>0</v>
      </c>
      <c r="K17" s="11" t="str">
        <f>VLOOKUP(J17, [1]Sheet1!$A$3:$B$10, 2, TRUE)</f>
        <v>F</v>
      </c>
    </row>
    <row r="18" spans="1:11" s="7" customFormat="1" ht="15.6" x14ac:dyDescent="0.3">
      <c r="A18" s="11">
        <v>12</v>
      </c>
      <c r="B18" s="11" t="s">
        <v>46</v>
      </c>
      <c r="C18" s="10" t="s">
        <v>28</v>
      </c>
      <c r="D18" s="11">
        <f>VLOOKUP(RIGHT(B18,8),'Điểm thực hành các buổi'!$B$3:$F$16,3,0)</f>
        <v>0.5</v>
      </c>
      <c r="E18" s="11">
        <f>VLOOKUP(RIGHT(B18,8),'Điểm thực hành các buổi'!B13:F27,4,0)</f>
        <v>0.5</v>
      </c>
      <c r="F18" s="11">
        <f>VLOOKUP(RIGHT(B18,8),'Điểm thực hành các buổi'!B13:F27,5,0)</f>
        <v>0.45</v>
      </c>
      <c r="G18" s="11">
        <f>VLOOKUP(RIGHT(B18,8),'Điểm bài tập lớn'!B13:D27,3,0)</f>
        <v>1.5</v>
      </c>
      <c r="H18" s="11">
        <f>VLOOKUP(RIGHT(B18,8),'Điểm lý thuyết'!B13:D27,3,FALSE)</f>
        <v>7</v>
      </c>
      <c r="I18" s="11">
        <f t="shared" si="0"/>
        <v>7.2</v>
      </c>
      <c r="J18" s="11">
        <f t="shared" si="1"/>
        <v>7.5</v>
      </c>
      <c r="K18" s="11" t="str">
        <f>VLOOKUP(J18, [1]Sheet1!$A$3:$B$10, 2, TRUE)</f>
        <v>B</v>
      </c>
    </row>
    <row r="19" spans="1:11" s="7" customFormat="1" ht="15.6" x14ac:dyDescent="0.3">
      <c r="A19" s="11">
        <v>13</v>
      </c>
      <c r="B19" s="11" t="s">
        <v>47</v>
      </c>
      <c r="C19" s="10" t="s">
        <v>29</v>
      </c>
      <c r="D19" s="11">
        <f>VLOOKUP(RIGHT(B19,8),'Điểm thực hành các buổi'!$B$3:$F$16,3,0)</f>
        <v>0.4</v>
      </c>
      <c r="E19" s="11">
        <f>VLOOKUP(RIGHT(B19,8),'Điểm thực hành các buổi'!B14:F28,4,0)</f>
        <v>0.4</v>
      </c>
      <c r="F19" s="11">
        <f>VLOOKUP(RIGHT(B19,8),'Điểm thực hành các buổi'!B14:F28,5,0)</f>
        <v>0.35</v>
      </c>
      <c r="G19" s="11">
        <f>VLOOKUP(RIGHT(B19,8),'Điểm bài tập lớn'!B14:D28,3,0)</f>
        <v>1.35</v>
      </c>
      <c r="H19" s="11">
        <f>VLOOKUP(RIGHT(B19,8),'Điểm lý thuyết'!B14:D28,3,FALSE)</f>
        <v>-3</v>
      </c>
      <c r="I19" s="11">
        <f t="shared" si="0"/>
        <v>0</v>
      </c>
      <c r="J19" s="11">
        <f t="shared" si="1"/>
        <v>0</v>
      </c>
      <c r="K19" s="11" t="str">
        <f>VLOOKUP(J19, [1]Sheet1!$A$3:$B$10, 2, TRUE)</f>
        <v>F</v>
      </c>
    </row>
    <row r="20" spans="1:11" s="7" customFormat="1" ht="15.6" x14ac:dyDescent="0.3">
      <c r="A20" s="11">
        <v>14</v>
      </c>
      <c r="B20" s="11" t="s">
        <v>48</v>
      </c>
      <c r="C20" s="10" t="s">
        <v>30</v>
      </c>
      <c r="D20" s="11">
        <f>VLOOKUP(RIGHT(B20,8),'Điểm thực hành các buổi'!$B$3:$F$16,3,0)</f>
        <v>0.35</v>
      </c>
      <c r="E20" s="11">
        <f>VLOOKUP(RIGHT(B20,8),'Điểm thực hành các buổi'!B15:F29,4,0)</f>
        <v>0.4</v>
      </c>
      <c r="F20" s="11">
        <f>VLOOKUP(RIGHT(B20,8),'Điểm thực hành các buổi'!B15:F29,5,0)</f>
        <v>0</v>
      </c>
      <c r="G20" s="11">
        <f>VLOOKUP(RIGHT(B20,8),'Điểm bài tập lớn'!B15:D29,3,0)</f>
        <v>0.85</v>
      </c>
      <c r="H20" s="11">
        <f>VLOOKUP(RIGHT(B20,8),'Điểm lý thuyết'!B15:D29,3,FALSE)</f>
        <v>6.5</v>
      </c>
      <c r="I20" s="11">
        <f t="shared" si="0"/>
        <v>5.5</v>
      </c>
      <c r="J20" s="11">
        <f t="shared" si="1"/>
        <v>6.5</v>
      </c>
      <c r="K20" s="11" t="str">
        <f>VLOOKUP(J20, [1]Sheet1!$A$3:$B$10, 2, TRUE)</f>
        <v>C+</v>
      </c>
    </row>
    <row r="21" spans="1:11" ht="15.6" x14ac:dyDescent="0.3">
      <c r="D21" s="11"/>
      <c r="I21" s="11"/>
    </row>
    <row r="22" spans="1:11" ht="15.6" x14ac:dyDescent="0.3">
      <c r="D22" s="11"/>
    </row>
  </sheetData>
  <mergeCells count="6">
    <mergeCell ref="D2:E2"/>
    <mergeCell ref="D3:E3"/>
    <mergeCell ref="D4:E4"/>
    <mergeCell ref="F2:H2"/>
    <mergeCell ref="F3:H3"/>
    <mergeCell ref="F4:H4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253C-15B6-4C4A-B6AF-E05963334422}">
  <dimension ref="A1:K12"/>
  <sheetViews>
    <sheetView workbookViewId="0">
      <selection sqref="A1:K12"/>
    </sheetView>
  </sheetViews>
  <sheetFormatPr defaultRowHeight="14.4" x14ac:dyDescent="0.3"/>
  <cols>
    <col min="2" max="2" width="16.5546875" customWidth="1"/>
    <col min="3" max="3" width="17.5546875" customWidth="1"/>
  </cols>
  <sheetData>
    <row r="1" spans="1:11" ht="62.4" x14ac:dyDescent="0.3">
      <c r="A1" s="48" t="s">
        <v>9</v>
      </c>
      <c r="B1" s="48" t="s">
        <v>10</v>
      </c>
      <c r="C1" s="49" t="s">
        <v>11</v>
      </c>
      <c r="D1" s="48" t="s">
        <v>13</v>
      </c>
      <c r="E1" s="48" t="s">
        <v>14</v>
      </c>
      <c r="F1" s="48" t="s">
        <v>12</v>
      </c>
      <c r="G1" s="48" t="s">
        <v>19</v>
      </c>
      <c r="H1" s="48" t="s">
        <v>15</v>
      </c>
      <c r="I1" s="48" t="s">
        <v>16</v>
      </c>
      <c r="J1" s="48" t="s">
        <v>17</v>
      </c>
      <c r="K1" s="48" t="s">
        <v>18</v>
      </c>
    </row>
    <row r="2" spans="1:11" ht="15.6" x14ac:dyDescent="0.3">
      <c r="A2" s="13">
        <v>1</v>
      </c>
      <c r="B2" s="13" t="s">
        <v>35</v>
      </c>
      <c r="C2" s="50" t="s">
        <v>31</v>
      </c>
      <c r="D2" s="13">
        <v>0.45</v>
      </c>
      <c r="E2" s="13">
        <v>0.25</v>
      </c>
      <c r="F2" s="13">
        <v>0.3</v>
      </c>
      <c r="G2" s="13">
        <v>0.5</v>
      </c>
      <c r="H2" s="13">
        <v>4.2</v>
      </c>
      <c r="I2" s="13">
        <v>4</v>
      </c>
      <c r="J2" s="13">
        <v>5</v>
      </c>
      <c r="K2" s="13" t="s">
        <v>64</v>
      </c>
    </row>
    <row r="3" spans="1:11" ht="15.6" x14ac:dyDescent="0.3">
      <c r="A3" s="13">
        <v>2</v>
      </c>
      <c r="B3" s="13" t="s">
        <v>36</v>
      </c>
      <c r="C3" s="50" t="s">
        <v>21</v>
      </c>
      <c r="D3" s="13">
        <v>0.5</v>
      </c>
      <c r="E3" s="13">
        <v>0.35</v>
      </c>
      <c r="F3" s="13">
        <v>0.4</v>
      </c>
      <c r="G3" s="13">
        <v>1</v>
      </c>
      <c r="H3" s="13">
        <v>5.8</v>
      </c>
      <c r="I3" s="13">
        <v>5.7</v>
      </c>
      <c r="J3" s="13">
        <v>6.2</v>
      </c>
      <c r="K3" s="13" t="s">
        <v>82</v>
      </c>
    </row>
    <row r="4" spans="1:11" ht="15.6" x14ac:dyDescent="0.3">
      <c r="A4" s="13">
        <v>3</v>
      </c>
      <c r="B4" s="13" t="s">
        <v>37</v>
      </c>
      <c r="C4" s="50" t="s">
        <v>22</v>
      </c>
      <c r="D4" s="13">
        <v>0.25</v>
      </c>
      <c r="E4" s="13">
        <v>0.25</v>
      </c>
      <c r="F4" s="13">
        <v>0.3</v>
      </c>
      <c r="G4" s="13">
        <v>0.5</v>
      </c>
      <c r="H4" s="13">
        <v>5.8</v>
      </c>
      <c r="I4" s="13">
        <v>4.8</v>
      </c>
      <c r="J4" s="13">
        <v>5.8</v>
      </c>
      <c r="K4" s="13" t="s">
        <v>82</v>
      </c>
    </row>
    <row r="5" spans="1:11" ht="15.6" x14ac:dyDescent="0.3">
      <c r="A5" s="13">
        <v>4</v>
      </c>
      <c r="B5" s="13" t="s">
        <v>38</v>
      </c>
      <c r="C5" s="50" t="s">
        <v>23</v>
      </c>
      <c r="D5" s="13">
        <v>0.4</v>
      </c>
      <c r="E5" s="13">
        <v>0.25</v>
      </c>
      <c r="F5" s="13">
        <v>0.35</v>
      </c>
      <c r="G5" s="13">
        <v>1</v>
      </c>
      <c r="H5" s="13">
        <v>4.5</v>
      </c>
      <c r="I5" s="13">
        <v>4.7</v>
      </c>
      <c r="J5" s="13">
        <v>5.7</v>
      </c>
      <c r="K5" s="13" t="s">
        <v>82</v>
      </c>
    </row>
    <row r="6" spans="1:11" ht="15.6" x14ac:dyDescent="0.3">
      <c r="A6" s="13">
        <v>5</v>
      </c>
      <c r="B6" s="13" t="s">
        <v>39</v>
      </c>
      <c r="C6" s="50" t="s">
        <v>24</v>
      </c>
      <c r="D6" s="13">
        <v>0.45</v>
      </c>
      <c r="E6" s="13">
        <v>0.4</v>
      </c>
      <c r="F6" s="13">
        <v>0.35</v>
      </c>
      <c r="G6" s="13">
        <v>0.75</v>
      </c>
      <c r="H6" s="13">
        <v>5.5</v>
      </c>
      <c r="I6" s="13">
        <v>5.3</v>
      </c>
      <c r="J6" s="13">
        <v>5.6</v>
      </c>
      <c r="K6" s="13" t="s">
        <v>82</v>
      </c>
    </row>
    <row r="7" spans="1:11" ht="15.6" x14ac:dyDescent="0.3">
      <c r="A7" s="13">
        <v>7</v>
      </c>
      <c r="B7" s="13" t="s">
        <v>41</v>
      </c>
      <c r="C7" s="50" t="s">
        <v>26</v>
      </c>
      <c r="D7" s="13">
        <v>0.4</v>
      </c>
      <c r="E7" s="13">
        <v>0.4</v>
      </c>
      <c r="F7" s="13">
        <v>0.4</v>
      </c>
      <c r="G7" s="13">
        <v>1</v>
      </c>
      <c r="H7" s="13">
        <v>5.3</v>
      </c>
      <c r="I7" s="13">
        <v>5.4</v>
      </c>
      <c r="J7" s="13">
        <v>6.4</v>
      </c>
      <c r="K7" s="13" t="s">
        <v>82</v>
      </c>
    </row>
    <row r="8" spans="1:11" ht="15.6" x14ac:dyDescent="0.3">
      <c r="A8" s="13">
        <v>8</v>
      </c>
      <c r="B8" s="13" t="s">
        <v>42</v>
      </c>
      <c r="C8" s="50" t="s">
        <v>32</v>
      </c>
      <c r="D8" s="13">
        <v>0.45</v>
      </c>
      <c r="E8" s="13">
        <v>0.4</v>
      </c>
      <c r="F8" s="13">
        <v>0.45</v>
      </c>
      <c r="G8" s="13">
        <v>0</v>
      </c>
      <c r="H8" s="13">
        <v>6.8</v>
      </c>
      <c r="I8" s="13">
        <v>5.4</v>
      </c>
      <c r="J8" s="13">
        <v>0</v>
      </c>
      <c r="K8" s="13" t="s">
        <v>60</v>
      </c>
    </row>
    <row r="9" spans="1:11" ht="15.6" x14ac:dyDescent="0.3">
      <c r="A9" s="13">
        <v>9</v>
      </c>
      <c r="B9" s="13" t="s">
        <v>43</v>
      </c>
      <c r="C9" s="50" t="s">
        <v>27</v>
      </c>
      <c r="D9" s="13">
        <v>0.45</v>
      </c>
      <c r="E9" s="13">
        <v>0.4</v>
      </c>
      <c r="F9" s="13">
        <v>0.4</v>
      </c>
      <c r="G9" s="13">
        <v>0.75</v>
      </c>
      <c r="H9" s="13">
        <v>6.3</v>
      </c>
      <c r="I9" s="13">
        <v>5.8</v>
      </c>
      <c r="J9" s="13">
        <v>6.8</v>
      </c>
      <c r="K9" s="13" t="s">
        <v>68</v>
      </c>
    </row>
    <row r="10" spans="1:11" ht="15.6" x14ac:dyDescent="0.3">
      <c r="A10" s="13">
        <v>11</v>
      </c>
      <c r="B10" s="13" t="s">
        <v>45</v>
      </c>
      <c r="C10" s="50" t="s">
        <v>34</v>
      </c>
      <c r="D10" s="13">
        <v>0.4</v>
      </c>
      <c r="E10" s="13">
        <v>0.45</v>
      </c>
      <c r="F10" s="13">
        <v>0.4</v>
      </c>
      <c r="G10" s="13">
        <v>0.3</v>
      </c>
      <c r="H10" s="13">
        <v>-3</v>
      </c>
      <c r="I10" s="13">
        <v>0</v>
      </c>
      <c r="J10" s="13">
        <v>0</v>
      </c>
      <c r="K10" s="13" t="s">
        <v>60</v>
      </c>
    </row>
    <row r="11" spans="1:11" ht="15.6" x14ac:dyDescent="0.3">
      <c r="A11" s="13">
        <v>13</v>
      </c>
      <c r="B11" s="13" t="s">
        <v>47</v>
      </c>
      <c r="C11" s="50" t="s">
        <v>29</v>
      </c>
      <c r="D11" s="13">
        <v>0.4</v>
      </c>
      <c r="E11" s="13">
        <v>0.4</v>
      </c>
      <c r="F11" s="13">
        <v>0.35</v>
      </c>
      <c r="G11" s="13">
        <v>1.35</v>
      </c>
      <c r="H11" s="13">
        <v>-3</v>
      </c>
      <c r="I11" s="13">
        <v>0</v>
      </c>
      <c r="J11" s="13">
        <v>0</v>
      </c>
      <c r="K11" s="13" t="s">
        <v>60</v>
      </c>
    </row>
    <row r="12" spans="1:11" ht="15.6" x14ac:dyDescent="0.3">
      <c r="A12" s="13">
        <v>14</v>
      </c>
      <c r="B12" s="13" t="s">
        <v>48</v>
      </c>
      <c r="C12" s="50" t="s">
        <v>30</v>
      </c>
      <c r="D12" s="13">
        <v>0.35</v>
      </c>
      <c r="E12" s="13">
        <v>0.4</v>
      </c>
      <c r="F12" s="13">
        <v>0</v>
      </c>
      <c r="G12" s="13">
        <v>0.85</v>
      </c>
      <c r="H12" s="13">
        <v>6.5</v>
      </c>
      <c r="I12" s="13">
        <v>5.5</v>
      </c>
      <c r="J12" s="13">
        <v>6.5</v>
      </c>
      <c r="K12" s="13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05DCC-834E-482C-BD0A-0063BE01ADA9}">
  <dimension ref="A1:K2"/>
  <sheetViews>
    <sheetView workbookViewId="0">
      <selection sqref="A1:K2"/>
    </sheetView>
  </sheetViews>
  <sheetFormatPr defaultRowHeight="14.4" x14ac:dyDescent="0.3"/>
  <cols>
    <col min="2" max="2" width="17.44140625" customWidth="1"/>
    <col min="3" max="3" width="17.77734375" customWidth="1"/>
  </cols>
  <sheetData>
    <row r="1" spans="1:11" ht="62.4" x14ac:dyDescent="0.3">
      <c r="A1" s="48" t="s">
        <v>9</v>
      </c>
      <c r="B1" s="48" t="s">
        <v>10</v>
      </c>
      <c r="C1" s="49" t="s">
        <v>11</v>
      </c>
      <c r="D1" s="48" t="s">
        <v>13</v>
      </c>
      <c r="E1" s="48" t="s">
        <v>14</v>
      </c>
      <c r="F1" s="48" t="s">
        <v>12</v>
      </c>
      <c r="G1" s="48" t="s">
        <v>19</v>
      </c>
      <c r="H1" s="48" t="s">
        <v>15</v>
      </c>
      <c r="I1" s="48" t="s">
        <v>16</v>
      </c>
      <c r="J1" s="48" t="s">
        <v>17</v>
      </c>
      <c r="K1" s="48" t="s">
        <v>18</v>
      </c>
    </row>
    <row r="2" spans="1:11" ht="15.6" x14ac:dyDescent="0.3">
      <c r="A2" s="13">
        <v>6</v>
      </c>
      <c r="B2" s="13" t="s">
        <v>40</v>
      </c>
      <c r="C2" s="50" t="s">
        <v>25</v>
      </c>
      <c r="D2" s="13">
        <v>0.4</v>
      </c>
      <c r="E2" s="13">
        <v>0.45</v>
      </c>
      <c r="F2" s="13">
        <v>0.5</v>
      </c>
      <c r="G2" s="13">
        <v>1.2</v>
      </c>
      <c r="H2" s="13">
        <v>7.5</v>
      </c>
      <c r="I2" s="13">
        <v>7.1</v>
      </c>
      <c r="J2" s="13">
        <v>8.1</v>
      </c>
      <c r="K2" s="13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FFA2-6BB4-49AD-8D70-733851815488}">
  <dimension ref="A1:F16"/>
  <sheetViews>
    <sheetView workbookViewId="0">
      <selection activeCell="D11" sqref="D11"/>
    </sheetView>
  </sheetViews>
  <sheetFormatPr defaultRowHeight="14.4" x14ac:dyDescent="0.3"/>
  <cols>
    <col min="2" max="2" width="10.77734375" customWidth="1"/>
    <col min="3" max="3" width="19.77734375" customWidth="1"/>
  </cols>
  <sheetData>
    <row r="1" spans="1:6" ht="29.4" customHeight="1" thickBot="1" x14ac:dyDescent="0.35">
      <c r="A1" s="30" t="s">
        <v>92</v>
      </c>
      <c r="B1" s="31"/>
      <c r="C1" s="31"/>
      <c r="D1" s="31"/>
      <c r="E1" s="31"/>
      <c r="F1" s="32"/>
    </row>
    <row r="2" spans="1:6" ht="31.8" thickBot="1" x14ac:dyDescent="0.35">
      <c r="A2" s="27" t="s">
        <v>94</v>
      </c>
      <c r="B2" s="27" t="s">
        <v>95</v>
      </c>
      <c r="C2" s="27" t="s">
        <v>96</v>
      </c>
      <c r="D2" s="27" t="s">
        <v>97</v>
      </c>
      <c r="E2" s="27" t="s">
        <v>98</v>
      </c>
      <c r="F2" s="27" t="s">
        <v>12</v>
      </c>
    </row>
    <row r="3" spans="1:6" ht="24" customHeight="1" thickBot="1" x14ac:dyDescent="0.35">
      <c r="A3" s="24" t="s">
        <v>91</v>
      </c>
      <c r="B3" s="24" t="s">
        <v>75</v>
      </c>
      <c r="C3" s="25" t="s">
        <v>100</v>
      </c>
      <c r="D3" s="24">
        <v>0.45</v>
      </c>
      <c r="E3" s="24">
        <v>0.25</v>
      </c>
      <c r="F3" s="24">
        <v>0.3</v>
      </c>
    </row>
    <row r="4" spans="1:6" ht="24.6" customHeight="1" thickBot="1" x14ac:dyDescent="0.35">
      <c r="A4" s="24" t="s">
        <v>93</v>
      </c>
      <c r="B4" s="24" t="s">
        <v>73</v>
      </c>
      <c r="C4" s="26" t="s">
        <v>102</v>
      </c>
      <c r="D4" s="24">
        <v>0.5</v>
      </c>
      <c r="E4" s="24">
        <v>0.35</v>
      </c>
      <c r="F4" s="24">
        <v>0.4</v>
      </c>
    </row>
    <row r="5" spans="1:6" ht="24" customHeight="1" thickBot="1" x14ac:dyDescent="0.35">
      <c r="A5" s="24" t="s">
        <v>99</v>
      </c>
      <c r="B5" s="24" t="s">
        <v>71</v>
      </c>
      <c r="C5" s="25" t="s">
        <v>104</v>
      </c>
      <c r="D5" s="24">
        <v>0.25</v>
      </c>
      <c r="E5" s="24">
        <v>0.25</v>
      </c>
      <c r="F5" s="24">
        <v>0.3</v>
      </c>
    </row>
    <row r="6" spans="1:6" ht="24" customHeight="1" thickBot="1" x14ac:dyDescent="0.35">
      <c r="A6" s="24" t="s">
        <v>101</v>
      </c>
      <c r="B6" s="24" t="s">
        <v>69</v>
      </c>
      <c r="C6" s="26" t="s">
        <v>106</v>
      </c>
      <c r="D6" s="24">
        <v>0.4</v>
      </c>
      <c r="E6" s="24">
        <v>0.25</v>
      </c>
      <c r="F6" s="24">
        <v>0.35</v>
      </c>
    </row>
    <row r="7" spans="1:6" ht="24" customHeight="1" thickBot="1" x14ac:dyDescent="0.35">
      <c r="A7" s="24" t="s">
        <v>103</v>
      </c>
      <c r="B7" s="24" t="s">
        <v>67</v>
      </c>
      <c r="C7" s="26" t="s">
        <v>108</v>
      </c>
      <c r="D7" s="24">
        <v>0.45</v>
      </c>
      <c r="E7" s="24">
        <v>0.4</v>
      </c>
      <c r="F7" s="24">
        <v>0.35</v>
      </c>
    </row>
    <row r="8" spans="1:6" ht="24.6" customHeight="1" thickBot="1" x14ac:dyDescent="0.35">
      <c r="A8" s="24" t="s">
        <v>105</v>
      </c>
      <c r="B8" s="24" t="s">
        <v>65</v>
      </c>
      <c r="C8" s="26" t="s">
        <v>110</v>
      </c>
      <c r="D8" s="24">
        <v>0.4</v>
      </c>
      <c r="E8" s="24">
        <v>0.45</v>
      </c>
      <c r="F8" s="24">
        <v>0.5</v>
      </c>
    </row>
    <row r="9" spans="1:6" ht="24" customHeight="1" thickBot="1" x14ac:dyDescent="0.35">
      <c r="A9" s="24" t="s">
        <v>107</v>
      </c>
      <c r="B9" s="24" t="s">
        <v>63</v>
      </c>
      <c r="C9" s="26" t="s">
        <v>112</v>
      </c>
      <c r="D9" s="24">
        <v>0.4</v>
      </c>
      <c r="E9" s="24">
        <v>0.4</v>
      </c>
      <c r="F9" s="24">
        <v>0.4</v>
      </c>
    </row>
    <row r="10" spans="1:6" ht="24" customHeight="1" thickBot="1" x14ac:dyDescent="0.35">
      <c r="A10" s="24" t="s">
        <v>109</v>
      </c>
      <c r="B10" s="24" t="s">
        <v>61</v>
      </c>
      <c r="C10" s="26" t="s">
        <v>114</v>
      </c>
      <c r="D10" s="24">
        <v>0.45</v>
      </c>
      <c r="E10" s="24">
        <v>0.4</v>
      </c>
      <c r="F10" s="24">
        <v>0.45</v>
      </c>
    </row>
    <row r="11" spans="1:6" ht="24" customHeight="1" thickBot="1" x14ac:dyDescent="0.35">
      <c r="A11" s="24" t="s">
        <v>111</v>
      </c>
      <c r="B11" s="24" t="s">
        <v>59</v>
      </c>
      <c r="C11" s="26" t="s">
        <v>116</v>
      </c>
      <c r="D11" s="24">
        <v>0.45</v>
      </c>
      <c r="E11" s="11">
        <v>0.4</v>
      </c>
      <c r="F11" s="24">
        <v>0.4</v>
      </c>
    </row>
    <row r="12" spans="1:6" ht="24" customHeight="1" thickBot="1" x14ac:dyDescent="0.35">
      <c r="A12" s="24" t="s">
        <v>113</v>
      </c>
      <c r="B12" s="24" t="s">
        <v>58</v>
      </c>
      <c r="C12" s="25" t="s">
        <v>118</v>
      </c>
      <c r="D12" s="24">
        <v>0.3</v>
      </c>
      <c r="E12" s="24">
        <v>0.5</v>
      </c>
      <c r="F12" s="24">
        <v>0.45</v>
      </c>
    </row>
    <row r="13" spans="1:6" ht="24" customHeight="1" thickBot="1" x14ac:dyDescent="0.35">
      <c r="A13" s="24" t="s">
        <v>115</v>
      </c>
      <c r="B13" s="24" t="s">
        <v>56</v>
      </c>
      <c r="C13" s="25" t="s">
        <v>120</v>
      </c>
      <c r="D13" s="24">
        <v>0.4</v>
      </c>
      <c r="E13" s="24">
        <v>0.45</v>
      </c>
      <c r="F13" s="24">
        <v>0.4</v>
      </c>
    </row>
    <row r="14" spans="1:6" ht="24" customHeight="1" thickBot="1" x14ac:dyDescent="0.35">
      <c r="A14" s="24" t="s">
        <v>117</v>
      </c>
      <c r="B14" s="24" t="s">
        <v>54</v>
      </c>
      <c r="C14" s="25" t="s">
        <v>122</v>
      </c>
      <c r="D14" s="24">
        <v>0.5</v>
      </c>
      <c r="E14" s="24">
        <v>0.5</v>
      </c>
      <c r="F14" s="24">
        <v>0.45</v>
      </c>
    </row>
    <row r="15" spans="1:6" ht="24" customHeight="1" thickBot="1" x14ac:dyDescent="0.35">
      <c r="A15" s="24" t="s">
        <v>119</v>
      </c>
      <c r="B15" s="24" t="s">
        <v>51</v>
      </c>
      <c r="C15" s="26" t="s">
        <v>123</v>
      </c>
      <c r="D15" s="24">
        <v>0.4</v>
      </c>
      <c r="E15" s="24">
        <v>0.4</v>
      </c>
      <c r="F15" s="24">
        <v>0.35</v>
      </c>
    </row>
    <row r="16" spans="1:6" ht="24" customHeight="1" thickBot="1" x14ac:dyDescent="0.35">
      <c r="A16" s="24" t="s">
        <v>121</v>
      </c>
      <c r="B16" s="24" t="s">
        <v>50</v>
      </c>
      <c r="C16" s="25" t="s">
        <v>124</v>
      </c>
      <c r="D16" s="24">
        <v>0.35</v>
      </c>
      <c r="E16" s="24">
        <v>0.4</v>
      </c>
      <c r="F16" s="24">
        <v>0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5C02-A392-4B19-A73A-88392BE0F0AF}">
  <dimension ref="A1:D16"/>
  <sheetViews>
    <sheetView workbookViewId="0">
      <selection activeCell="D16" sqref="D16"/>
    </sheetView>
  </sheetViews>
  <sheetFormatPr defaultRowHeight="14.4" x14ac:dyDescent="0.3"/>
  <cols>
    <col min="2" max="2" width="17.5546875" customWidth="1"/>
    <col min="3" max="3" width="19.77734375" customWidth="1"/>
  </cols>
  <sheetData>
    <row r="1" spans="1:4" ht="32.4" customHeight="1" thickBot="1" x14ac:dyDescent="0.35">
      <c r="A1" s="30" t="s">
        <v>125</v>
      </c>
      <c r="B1" s="34"/>
      <c r="C1" s="34"/>
      <c r="D1" s="35"/>
    </row>
    <row r="2" spans="1:4" ht="31.8" thickBot="1" x14ac:dyDescent="0.35">
      <c r="A2" s="27" t="s">
        <v>94</v>
      </c>
      <c r="B2" s="27" t="s">
        <v>95</v>
      </c>
      <c r="C2" s="27" t="s">
        <v>96</v>
      </c>
      <c r="D2" s="27" t="s">
        <v>127</v>
      </c>
    </row>
    <row r="3" spans="1:4" ht="24.6" customHeight="1" thickBot="1" x14ac:dyDescent="0.35">
      <c r="A3" s="24" t="s">
        <v>91</v>
      </c>
      <c r="B3" s="24" t="s">
        <v>75</v>
      </c>
      <c r="C3" s="26" t="s">
        <v>100</v>
      </c>
      <c r="D3" s="24">
        <v>0.5</v>
      </c>
    </row>
    <row r="4" spans="1:4" ht="24.6" customHeight="1" thickBot="1" x14ac:dyDescent="0.35">
      <c r="A4" s="24" t="s">
        <v>93</v>
      </c>
      <c r="B4" s="24" t="s">
        <v>73</v>
      </c>
      <c r="C4" s="26" t="s">
        <v>102</v>
      </c>
      <c r="D4" s="24">
        <v>1</v>
      </c>
    </row>
    <row r="5" spans="1:4" ht="24" customHeight="1" thickBot="1" x14ac:dyDescent="0.35">
      <c r="A5" s="24" t="s">
        <v>99</v>
      </c>
      <c r="B5" s="24" t="s">
        <v>71</v>
      </c>
      <c r="C5" s="26" t="s">
        <v>104</v>
      </c>
      <c r="D5" s="24">
        <v>0.5</v>
      </c>
    </row>
    <row r="6" spans="1:4" ht="24.6" customHeight="1" thickBot="1" x14ac:dyDescent="0.35">
      <c r="A6" s="24" t="s">
        <v>101</v>
      </c>
      <c r="B6" s="24" t="s">
        <v>69</v>
      </c>
      <c r="C6" s="26" t="s">
        <v>106</v>
      </c>
      <c r="D6" s="24">
        <v>1</v>
      </c>
    </row>
    <row r="7" spans="1:4" ht="24" customHeight="1" thickBot="1" x14ac:dyDescent="0.35">
      <c r="A7" s="24" t="s">
        <v>103</v>
      </c>
      <c r="B7" s="24" t="s">
        <v>67</v>
      </c>
      <c r="C7" s="26" t="s">
        <v>108</v>
      </c>
      <c r="D7" s="24">
        <v>0.75</v>
      </c>
    </row>
    <row r="8" spans="1:4" ht="24" customHeight="1" thickBot="1" x14ac:dyDescent="0.35">
      <c r="A8" s="24" t="s">
        <v>105</v>
      </c>
      <c r="B8" s="24" t="s">
        <v>65</v>
      </c>
      <c r="C8" s="26" t="s">
        <v>110</v>
      </c>
      <c r="D8" s="24">
        <v>1.2</v>
      </c>
    </row>
    <row r="9" spans="1:4" ht="24" customHeight="1" thickBot="1" x14ac:dyDescent="0.35">
      <c r="A9" s="24" t="s">
        <v>107</v>
      </c>
      <c r="B9" s="24" t="s">
        <v>63</v>
      </c>
      <c r="C9" s="26" t="s">
        <v>112</v>
      </c>
      <c r="D9" s="24">
        <v>1</v>
      </c>
    </row>
    <row r="10" spans="1:4" ht="24" customHeight="1" thickBot="1" x14ac:dyDescent="0.35">
      <c r="A10" s="24" t="s">
        <v>109</v>
      </c>
      <c r="B10" s="24" t="s">
        <v>61</v>
      </c>
      <c r="C10" s="26" t="s">
        <v>114</v>
      </c>
      <c r="D10" s="24">
        <v>0</v>
      </c>
    </row>
    <row r="11" spans="1:4" ht="24" customHeight="1" thickBot="1" x14ac:dyDescent="0.35">
      <c r="A11" s="24" t="s">
        <v>111</v>
      </c>
      <c r="B11" s="24" t="s">
        <v>59</v>
      </c>
      <c r="C11" s="24" t="s">
        <v>116</v>
      </c>
      <c r="D11" s="24">
        <v>0.75</v>
      </c>
    </row>
    <row r="12" spans="1:4" ht="24" customHeight="1" thickBot="1" x14ac:dyDescent="0.35">
      <c r="A12" s="24" t="s">
        <v>113</v>
      </c>
      <c r="B12" s="24" t="s">
        <v>58</v>
      </c>
      <c r="C12" s="26" t="s">
        <v>118</v>
      </c>
      <c r="D12" s="24">
        <v>0.3</v>
      </c>
    </row>
    <row r="13" spans="1:4" ht="24.6" customHeight="1" thickBot="1" x14ac:dyDescent="0.35">
      <c r="A13" s="24" t="s">
        <v>115</v>
      </c>
      <c r="B13" s="24" t="s">
        <v>56</v>
      </c>
      <c r="C13" s="26" t="s">
        <v>120</v>
      </c>
      <c r="D13" s="24">
        <v>0.3</v>
      </c>
    </row>
    <row r="14" spans="1:4" ht="23.4" customHeight="1" thickBot="1" x14ac:dyDescent="0.35">
      <c r="A14" s="24" t="s">
        <v>117</v>
      </c>
      <c r="B14" s="24" t="s">
        <v>54</v>
      </c>
      <c r="C14" s="26" t="s">
        <v>122</v>
      </c>
      <c r="D14" s="24">
        <v>1.5</v>
      </c>
    </row>
    <row r="15" spans="1:4" ht="24" customHeight="1" thickBot="1" x14ac:dyDescent="0.35">
      <c r="A15" s="24" t="s">
        <v>119</v>
      </c>
      <c r="B15" s="24" t="s">
        <v>51</v>
      </c>
      <c r="C15" s="26" t="s">
        <v>123</v>
      </c>
      <c r="D15" s="24">
        <v>1.35</v>
      </c>
    </row>
    <row r="16" spans="1:4" ht="24.6" customHeight="1" thickBot="1" x14ac:dyDescent="0.35">
      <c r="A16" s="24" t="s">
        <v>121</v>
      </c>
      <c r="B16" s="24" t="s">
        <v>50</v>
      </c>
      <c r="C16" s="24" t="s">
        <v>124</v>
      </c>
      <c r="D16" s="24">
        <v>0.85</v>
      </c>
    </row>
  </sheetData>
  <autoFilter ref="A1:D16" xr:uid="{B8A75C02-A392-4B19-A73A-88392BE0F0AF}">
    <filterColumn colId="0" showButton="0"/>
    <filterColumn colId="1" showButton="0"/>
    <filterColumn colId="2" showButton="0"/>
  </autoFilter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68AC-891C-4782-AD5B-6B211FF15BC0}">
  <dimension ref="A1:D16"/>
  <sheetViews>
    <sheetView workbookViewId="0">
      <selection activeCell="D9" sqref="D9"/>
    </sheetView>
  </sheetViews>
  <sheetFormatPr defaultRowHeight="14.4" x14ac:dyDescent="0.3"/>
  <cols>
    <col min="2" max="2" width="13.77734375" customWidth="1"/>
    <col min="3" max="3" width="24.33203125" customWidth="1"/>
  </cols>
  <sheetData>
    <row r="1" spans="1:4" ht="40.799999999999997" customHeight="1" thickBot="1" x14ac:dyDescent="0.35">
      <c r="A1" s="36" t="s">
        <v>128</v>
      </c>
      <c r="B1" s="37"/>
      <c r="C1" s="37"/>
      <c r="D1" s="38"/>
    </row>
    <row r="2" spans="1:4" ht="31.8" thickBot="1" x14ac:dyDescent="0.35">
      <c r="A2" s="28" t="s">
        <v>94</v>
      </c>
      <c r="B2" s="28" t="s">
        <v>129</v>
      </c>
      <c r="C2" s="28" t="s">
        <v>130</v>
      </c>
      <c r="D2" s="28" t="s">
        <v>128</v>
      </c>
    </row>
    <row r="3" spans="1:4" ht="24" customHeight="1" thickBot="1" x14ac:dyDescent="0.35">
      <c r="A3" s="24" t="s">
        <v>91</v>
      </c>
      <c r="B3" s="26" t="s">
        <v>75</v>
      </c>
      <c r="C3" s="26" t="s">
        <v>100</v>
      </c>
      <c r="D3" s="24">
        <v>4.2</v>
      </c>
    </row>
    <row r="4" spans="1:4" ht="24" customHeight="1" thickBot="1" x14ac:dyDescent="0.35">
      <c r="A4" s="24" t="s">
        <v>93</v>
      </c>
      <c r="B4" s="26" t="s">
        <v>73</v>
      </c>
      <c r="C4" s="26" t="s">
        <v>102</v>
      </c>
      <c r="D4" s="24">
        <v>5.8</v>
      </c>
    </row>
    <row r="5" spans="1:4" ht="24.6" customHeight="1" thickBot="1" x14ac:dyDescent="0.35">
      <c r="A5" s="24" t="s">
        <v>99</v>
      </c>
      <c r="B5" s="26" t="s">
        <v>71</v>
      </c>
      <c r="C5" s="26" t="s">
        <v>104</v>
      </c>
      <c r="D5" s="24">
        <v>5.8</v>
      </c>
    </row>
    <row r="6" spans="1:4" ht="25.8" customHeight="1" thickBot="1" x14ac:dyDescent="0.35">
      <c r="A6" s="24" t="s">
        <v>101</v>
      </c>
      <c r="B6" s="26" t="s">
        <v>69</v>
      </c>
      <c r="C6" s="26" t="s">
        <v>106</v>
      </c>
      <c r="D6" s="24">
        <v>4.5</v>
      </c>
    </row>
    <row r="7" spans="1:4" ht="24" customHeight="1" thickBot="1" x14ac:dyDescent="0.35">
      <c r="A7" s="24" t="s">
        <v>103</v>
      </c>
      <c r="B7" s="26" t="s">
        <v>67</v>
      </c>
      <c r="C7" s="26" t="s">
        <v>108</v>
      </c>
      <c r="D7" s="24">
        <v>5.5</v>
      </c>
    </row>
    <row r="8" spans="1:4" ht="24.6" customHeight="1" thickBot="1" x14ac:dyDescent="0.35">
      <c r="A8" s="24" t="s">
        <v>105</v>
      </c>
      <c r="B8" s="26" t="s">
        <v>65</v>
      </c>
      <c r="C8" s="26" t="s">
        <v>110</v>
      </c>
      <c r="D8" s="24">
        <v>7.5</v>
      </c>
    </row>
    <row r="9" spans="1:4" ht="24" customHeight="1" thickBot="1" x14ac:dyDescent="0.35">
      <c r="A9" s="24" t="s">
        <v>107</v>
      </c>
      <c r="B9" s="26" t="s">
        <v>63</v>
      </c>
      <c r="C9" s="26" t="s">
        <v>112</v>
      </c>
      <c r="D9" s="24">
        <v>5.3</v>
      </c>
    </row>
    <row r="10" spans="1:4" ht="24" customHeight="1" thickBot="1" x14ac:dyDescent="0.35">
      <c r="A10" s="24" t="s">
        <v>109</v>
      </c>
      <c r="B10" s="26" t="s">
        <v>61</v>
      </c>
      <c r="C10" s="26" t="s">
        <v>114</v>
      </c>
      <c r="D10" s="24">
        <v>6.8</v>
      </c>
    </row>
    <row r="11" spans="1:4" ht="24.6" customHeight="1" thickBot="1" x14ac:dyDescent="0.35">
      <c r="A11" s="24" t="s">
        <v>111</v>
      </c>
      <c r="B11" s="26" t="s">
        <v>59</v>
      </c>
      <c r="C11" s="26" t="s">
        <v>116</v>
      </c>
      <c r="D11" s="24">
        <v>6.3</v>
      </c>
    </row>
    <row r="12" spans="1:4" ht="24" customHeight="1" thickBot="1" x14ac:dyDescent="0.35">
      <c r="A12" s="24" t="s">
        <v>113</v>
      </c>
      <c r="B12" s="26" t="s">
        <v>58</v>
      </c>
      <c r="C12" s="26" t="s">
        <v>118</v>
      </c>
      <c r="D12" s="24">
        <v>8.3000000000000007</v>
      </c>
    </row>
    <row r="13" spans="1:4" ht="24" customHeight="1" thickBot="1" x14ac:dyDescent="0.35">
      <c r="A13" s="24" t="s">
        <v>115</v>
      </c>
      <c r="B13" s="26" t="s">
        <v>56</v>
      </c>
      <c r="C13" s="26" t="s">
        <v>120</v>
      </c>
      <c r="D13" s="24">
        <v>-3</v>
      </c>
    </row>
    <row r="14" spans="1:4" ht="24.6" customHeight="1" thickBot="1" x14ac:dyDescent="0.35">
      <c r="A14" s="24" t="s">
        <v>117</v>
      </c>
      <c r="B14" s="26" t="s">
        <v>54</v>
      </c>
      <c r="C14" s="26" t="s">
        <v>122</v>
      </c>
      <c r="D14" s="24">
        <v>7</v>
      </c>
    </row>
    <row r="15" spans="1:4" ht="24.6" customHeight="1" thickBot="1" x14ac:dyDescent="0.35">
      <c r="A15" s="24" t="s">
        <v>119</v>
      </c>
      <c r="B15" s="26" t="s">
        <v>51</v>
      </c>
      <c r="C15" s="26" t="s">
        <v>123</v>
      </c>
      <c r="D15" s="24">
        <v>-3</v>
      </c>
    </row>
    <row r="16" spans="1:4" ht="24.6" customHeight="1" thickBot="1" x14ac:dyDescent="0.35">
      <c r="A16" s="24" t="s">
        <v>121</v>
      </c>
      <c r="B16" s="26" t="s">
        <v>50</v>
      </c>
      <c r="C16" s="26" t="s">
        <v>124</v>
      </c>
      <c r="D16" s="24">
        <v>6.5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CF3-287B-4F6E-A1A4-ECC52B097373}">
  <dimension ref="A1:M27"/>
  <sheetViews>
    <sheetView tabSelected="1" workbookViewId="0">
      <selection activeCell="N3" sqref="N3"/>
    </sheetView>
  </sheetViews>
  <sheetFormatPr defaultRowHeight="14.4" x14ac:dyDescent="0.3"/>
  <cols>
    <col min="1" max="1" width="24.77734375" customWidth="1"/>
    <col min="2" max="2" width="10.77734375" customWidth="1"/>
    <col min="3" max="3" width="24.77734375" customWidth="1"/>
    <col min="4" max="4" width="5.5546875" customWidth="1"/>
    <col min="5" max="5" width="20" customWidth="1"/>
    <col min="6" max="6" width="18.88671875" customWidth="1"/>
  </cols>
  <sheetData>
    <row r="1" spans="1:13" ht="18" x14ac:dyDescent="0.35">
      <c r="A1" s="42" t="s">
        <v>89</v>
      </c>
      <c r="B1" s="43"/>
      <c r="C1" s="43"/>
      <c r="D1" s="12"/>
      <c r="E1" s="42" t="s">
        <v>88</v>
      </c>
      <c r="F1" s="44"/>
      <c r="G1" s="12"/>
      <c r="H1" s="12"/>
      <c r="I1" s="12"/>
      <c r="J1" s="12"/>
      <c r="K1" s="12"/>
      <c r="L1" s="12"/>
      <c r="M1" s="12"/>
    </row>
    <row r="2" spans="1:13" ht="15.6" x14ac:dyDescent="0.3">
      <c r="A2" s="15" t="s">
        <v>87</v>
      </c>
      <c r="B2" s="15" t="s">
        <v>77</v>
      </c>
      <c r="C2" s="15" t="s">
        <v>86</v>
      </c>
      <c r="D2" s="17"/>
      <c r="E2" s="15" t="s">
        <v>85</v>
      </c>
      <c r="F2" s="15" t="s">
        <v>84</v>
      </c>
      <c r="G2" s="12"/>
      <c r="H2" s="12"/>
      <c r="I2" s="12"/>
      <c r="J2" s="12"/>
      <c r="K2" s="12"/>
      <c r="L2" s="12"/>
      <c r="M2" s="12"/>
    </row>
    <row r="3" spans="1:13" ht="15.6" x14ac:dyDescent="0.3">
      <c r="A3" s="13">
        <v>0</v>
      </c>
      <c r="B3" s="13" t="s">
        <v>60</v>
      </c>
      <c r="C3" s="13">
        <v>0</v>
      </c>
      <c r="D3" s="13"/>
      <c r="E3" s="13">
        <v>0</v>
      </c>
      <c r="F3" s="13">
        <v>1</v>
      </c>
      <c r="G3" s="12"/>
      <c r="H3" s="12"/>
      <c r="I3" s="12"/>
      <c r="J3" s="12"/>
      <c r="K3" s="12"/>
      <c r="L3" s="12"/>
      <c r="M3" s="12"/>
    </row>
    <row r="4" spans="1:13" ht="15.6" x14ac:dyDescent="0.3">
      <c r="A4" s="13">
        <v>4</v>
      </c>
      <c r="B4" s="13" t="s">
        <v>83</v>
      </c>
      <c r="C4" s="13">
        <v>1</v>
      </c>
      <c r="D4" s="13"/>
      <c r="E4" s="13">
        <v>1</v>
      </c>
      <c r="F4" s="13">
        <v>0.5</v>
      </c>
      <c r="G4" s="12"/>
      <c r="H4" s="12"/>
      <c r="I4" s="12"/>
      <c r="J4" s="12"/>
      <c r="K4" s="12"/>
      <c r="L4" s="12"/>
      <c r="M4" s="12"/>
    </row>
    <row r="5" spans="1:13" ht="15.6" x14ac:dyDescent="0.3">
      <c r="A5" s="13">
        <v>5</v>
      </c>
      <c r="B5" s="13" t="s">
        <v>64</v>
      </c>
      <c r="C5" s="13">
        <v>1.5</v>
      </c>
      <c r="D5" s="13"/>
      <c r="E5" s="13">
        <v>2</v>
      </c>
      <c r="F5" s="13">
        <v>0.23</v>
      </c>
      <c r="G5" s="12"/>
      <c r="H5" s="12"/>
      <c r="I5" s="12"/>
      <c r="J5" s="12"/>
      <c r="K5" s="12"/>
      <c r="L5" s="12"/>
      <c r="M5" s="12"/>
    </row>
    <row r="6" spans="1:13" ht="15.6" x14ac:dyDescent="0.3">
      <c r="A6" s="13">
        <v>5.5</v>
      </c>
      <c r="B6" s="13" t="s">
        <v>82</v>
      </c>
      <c r="C6" s="13">
        <v>2</v>
      </c>
      <c r="D6" s="13"/>
      <c r="E6" s="13"/>
      <c r="F6" s="13"/>
      <c r="G6" s="12"/>
      <c r="H6" s="12"/>
      <c r="I6" s="12"/>
      <c r="J6" s="12"/>
      <c r="K6" s="12"/>
      <c r="L6" s="12"/>
      <c r="M6" s="12"/>
    </row>
    <row r="7" spans="1:13" ht="15.6" x14ac:dyDescent="0.3">
      <c r="A7" s="13">
        <v>6.5</v>
      </c>
      <c r="B7" s="13" t="s">
        <v>68</v>
      </c>
      <c r="C7" s="13">
        <v>2.5</v>
      </c>
      <c r="D7" s="13"/>
      <c r="E7" s="13"/>
      <c r="F7" s="13"/>
      <c r="G7" s="12"/>
      <c r="H7" s="12"/>
      <c r="I7" s="12"/>
      <c r="J7" s="12"/>
      <c r="K7" s="12"/>
      <c r="L7" s="12"/>
      <c r="M7" s="12"/>
    </row>
    <row r="8" spans="1:13" ht="15.6" x14ac:dyDescent="0.3">
      <c r="A8" s="13">
        <v>7</v>
      </c>
      <c r="B8" s="13" t="s">
        <v>81</v>
      </c>
      <c r="C8" s="13">
        <v>3</v>
      </c>
      <c r="D8" s="13"/>
      <c r="E8" s="13"/>
      <c r="F8" s="13"/>
      <c r="G8" s="12"/>
      <c r="H8" s="12"/>
      <c r="I8" s="12"/>
      <c r="J8" s="12"/>
      <c r="K8" s="12"/>
      <c r="L8" s="12"/>
      <c r="M8" s="12"/>
    </row>
    <row r="9" spans="1:13" ht="15.6" x14ac:dyDescent="0.3">
      <c r="A9" s="13">
        <v>8</v>
      </c>
      <c r="B9" s="13" t="s">
        <v>72</v>
      </c>
      <c r="C9" s="13">
        <v>3.5</v>
      </c>
      <c r="D9" s="13"/>
      <c r="E9" s="13"/>
      <c r="F9" s="13"/>
      <c r="G9" s="12"/>
      <c r="H9" s="12"/>
      <c r="I9" s="12"/>
      <c r="J9" s="12"/>
      <c r="K9" s="12"/>
      <c r="L9" s="12"/>
      <c r="M9" s="12"/>
    </row>
    <row r="10" spans="1:13" ht="15.6" x14ac:dyDescent="0.3">
      <c r="A10" s="13">
        <v>9</v>
      </c>
      <c r="B10" s="13" t="s">
        <v>74</v>
      </c>
      <c r="C10" s="13">
        <v>4</v>
      </c>
      <c r="D10" s="13"/>
      <c r="E10" s="13"/>
      <c r="F10" s="13"/>
      <c r="G10" s="12"/>
      <c r="H10" s="12"/>
      <c r="I10" s="12"/>
      <c r="J10" s="12"/>
      <c r="K10" s="12"/>
      <c r="L10" s="12"/>
      <c r="M10" s="12"/>
    </row>
    <row r="11" spans="1:13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 ht="30" customHeight="1" x14ac:dyDescent="0.3">
      <c r="A12" s="45" t="s">
        <v>80</v>
      </c>
      <c r="B12" s="46"/>
      <c r="C12" s="47"/>
      <c r="D12" s="16"/>
      <c r="E12" s="45" t="s">
        <v>79</v>
      </c>
      <c r="F12" s="47"/>
      <c r="G12" s="12"/>
      <c r="H12" s="12"/>
      <c r="I12" s="12"/>
      <c r="J12" s="12"/>
      <c r="K12" s="12"/>
      <c r="L12" s="12"/>
      <c r="M12" s="12"/>
    </row>
    <row r="13" spans="1:13" ht="23.4" customHeight="1" x14ac:dyDescent="0.3">
      <c r="A13" s="15" t="s">
        <v>9</v>
      </c>
      <c r="B13" s="15" t="s">
        <v>10</v>
      </c>
      <c r="C13" s="15" t="s">
        <v>78</v>
      </c>
      <c r="D13" s="16"/>
      <c r="E13" s="15" t="s">
        <v>77</v>
      </c>
      <c r="F13" s="15" t="s">
        <v>76</v>
      </c>
      <c r="G13" s="12"/>
      <c r="H13" s="12"/>
      <c r="I13" s="12"/>
      <c r="J13" s="12"/>
      <c r="K13" s="12"/>
      <c r="L13" s="12"/>
      <c r="M13" s="12"/>
    </row>
    <row r="14" spans="1:13" ht="15.6" x14ac:dyDescent="0.3">
      <c r="A14" s="13">
        <v>1</v>
      </c>
      <c r="B14" s="13" t="s">
        <v>75</v>
      </c>
      <c r="C14" s="13" t="s">
        <v>23</v>
      </c>
      <c r="D14" s="13"/>
      <c r="E14" s="11" t="s">
        <v>74</v>
      </c>
      <c r="F14" s="11">
        <f>COUNTIF('Tổng hợp điểm'!$K$7:$K$20, E14)</f>
        <v>0</v>
      </c>
      <c r="G14" s="12"/>
      <c r="H14" s="12"/>
      <c r="I14" s="12"/>
      <c r="J14" s="12"/>
      <c r="K14" s="12"/>
      <c r="L14" s="12"/>
      <c r="M14" s="12"/>
    </row>
    <row r="15" spans="1:13" ht="15.6" x14ac:dyDescent="0.3">
      <c r="A15" s="13">
        <v>2</v>
      </c>
      <c r="B15" s="13" t="s">
        <v>73</v>
      </c>
      <c r="C15" s="13" t="s">
        <v>32</v>
      </c>
      <c r="D15" s="13"/>
      <c r="E15" s="13" t="s">
        <v>72</v>
      </c>
      <c r="F15" s="11">
        <f>COUNTIF('Tổng hợp điểm'!$K$7:$K$20, E15)</f>
        <v>1</v>
      </c>
      <c r="G15" s="12"/>
      <c r="H15" s="12"/>
      <c r="I15" s="12"/>
      <c r="J15" s="12"/>
      <c r="K15" s="12"/>
      <c r="L15" s="12"/>
      <c r="M15" s="12"/>
    </row>
    <row r="16" spans="1:13" ht="15.6" x14ac:dyDescent="0.3">
      <c r="A16" s="13">
        <v>3</v>
      </c>
      <c r="B16" s="13" t="s">
        <v>71</v>
      </c>
      <c r="C16" s="13" t="s">
        <v>27</v>
      </c>
      <c r="D16" s="13"/>
      <c r="E16" s="13" t="s">
        <v>70</v>
      </c>
      <c r="F16" s="11">
        <f>COUNTIF('Tổng hợp điểm'!$K$7:$K$20, E16)</f>
        <v>0</v>
      </c>
      <c r="G16" s="12"/>
      <c r="H16" s="12"/>
      <c r="I16" s="12"/>
      <c r="J16" s="12"/>
      <c r="K16" s="12"/>
      <c r="L16" s="12"/>
      <c r="M16" s="12"/>
    </row>
    <row r="17" spans="1:13" ht="15.6" x14ac:dyDescent="0.3">
      <c r="A17" s="13">
        <v>4</v>
      </c>
      <c r="B17" s="13" t="s">
        <v>69</v>
      </c>
      <c r="C17" s="13" t="s">
        <v>26</v>
      </c>
      <c r="D17" s="13"/>
      <c r="E17" s="13" t="s">
        <v>68</v>
      </c>
      <c r="F17" s="11">
        <f>COUNTIF('Tổng hợp điểm'!$K$7:$K$20, E17)</f>
        <v>2</v>
      </c>
      <c r="G17" s="12"/>
      <c r="H17" s="12"/>
      <c r="I17" s="12"/>
      <c r="J17" s="12"/>
      <c r="K17" s="12"/>
      <c r="L17" s="12"/>
      <c r="M17" s="12"/>
    </row>
    <row r="18" spans="1:13" ht="15.6" x14ac:dyDescent="0.3">
      <c r="A18" s="13">
        <v>5</v>
      </c>
      <c r="B18" s="13" t="s">
        <v>67</v>
      </c>
      <c r="C18" s="13" t="s">
        <v>24</v>
      </c>
      <c r="D18" s="13"/>
      <c r="E18" s="13" t="s">
        <v>66</v>
      </c>
      <c r="F18" s="11">
        <f>COUNTIF('Tổng hợp điểm'!$K$7:$K$20, E18)</f>
        <v>0</v>
      </c>
      <c r="G18" s="12"/>
      <c r="H18" s="12"/>
      <c r="I18" s="12"/>
      <c r="J18" s="12"/>
      <c r="K18" s="12"/>
      <c r="L18" s="12"/>
      <c r="M18" s="12"/>
    </row>
    <row r="19" spans="1:13" ht="15.6" x14ac:dyDescent="0.3">
      <c r="A19" s="13">
        <v>6</v>
      </c>
      <c r="B19" s="13" t="s">
        <v>65</v>
      </c>
      <c r="C19" s="13" t="s">
        <v>21</v>
      </c>
      <c r="D19" s="13"/>
      <c r="E19" s="13" t="s">
        <v>64</v>
      </c>
      <c r="F19" s="11">
        <f>COUNTIF('Tổng hợp điểm'!$K$7:$K$20, E19)</f>
        <v>1</v>
      </c>
      <c r="G19" s="12"/>
      <c r="H19" s="12"/>
      <c r="I19" s="12"/>
      <c r="J19" s="12"/>
      <c r="K19" s="12"/>
      <c r="L19" s="12"/>
      <c r="M19" s="12"/>
    </row>
    <row r="20" spans="1:13" ht="15.6" x14ac:dyDescent="0.3">
      <c r="A20" s="13">
        <v>7</v>
      </c>
      <c r="B20" s="13" t="s">
        <v>63</v>
      </c>
      <c r="C20" s="13" t="s">
        <v>34</v>
      </c>
      <c r="D20" s="13"/>
      <c r="E20" s="13" t="s">
        <v>62</v>
      </c>
      <c r="F20" s="11">
        <f>COUNTIF('Tổng hợp điểm'!$K$7:$K$20, E20)</f>
        <v>0</v>
      </c>
      <c r="G20" s="12"/>
      <c r="H20" s="12"/>
      <c r="I20" s="12"/>
      <c r="J20" s="12"/>
      <c r="K20" s="12"/>
      <c r="L20" s="12"/>
      <c r="M20" s="12"/>
    </row>
    <row r="21" spans="1:13" ht="15.6" x14ac:dyDescent="0.3">
      <c r="A21" s="13">
        <v>8</v>
      </c>
      <c r="B21" s="13" t="s">
        <v>61</v>
      </c>
      <c r="C21" s="13" t="s">
        <v>30</v>
      </c>
      <c r="D21" s="13"/>
      <c r="E21" s="13" t="s">
        <v>60</v>
      </c>
      <c r="F21" s="11">
        <f>COUNTIF('Tổng hợp điểm'!$K$7:$K$20, E21)</f>
        <v>3</v>
      </c>
      <c r="G21" s="12"/>
      <c r="H21" s="12"/>
      <c r="I21" s="12"/>
      <c r="J21" s="12"/>
      <c r="K21" s="12"/>
      <c r="L21" s="12"/>
      <c r="M21" s="12"/>
    </row>
    <row r="22" spans="1:13" ht="17.399999999999999" x14ac:dyDescent="0.3">
      <c r="A22" s="13">
        <v>9</v>
      </c>
      <c r="B22" s="13" t="s">
        <v>59</v>
      </c>
      <c r="C22" s="13" t="s">
        <v>28</v>
      </c>
      <c r="D22" s="13"/>
      <c r="E22" s="45" t="s">
        <v>57</v>
      </c>
      <c r="F22" s="47"/>
      <c r="G22" s="12"/>
      <c r="H22" s="12"/>
      <c r="I22" s="12"/>
      <c r="J22" s="12"/>
      <c r="K22" s="12"/>
      <c r="L22" s="12"/>
      <c r="M22" s="12"/>
    </row>
    <row r="23" spans="1:13" ht="15.6" x14ac:dyDescent="0.3">
      <c r="A23" s="13">
        <v>10</v>
      </c>
      <c r="B23" s="13" t="s">
        <v>58</v>
      </c>
      <c r="C23" s="13" t="s">
        <v>22</v>
      </c>
      <c r="D23" s="13"/>
      <c r="E23" s="19" t="s">
        <v>55</v>
      </c>
      <c r="F23" s="39">
        <f>COUNTIF('Tổng hợp điểm'!$G$7:$G$20, 0) + COUNTIF('Tổng hợp điểm'!$H$7:$H$20, -3) - COUNTIFS('Tổng hợp điểm'!$G$7:$G$20, 0, 'Tổng hợp điểm'!$H$7:$H$20, -3)</f>
        <v>3</v>
      </c>
      <c r="G23" s="12"/>
      <c r="H23" s="12"/>
      <c r="I23" s="12"/>
      <c r="J23" s="12"/>
      <c r="K23" s="12"/>
      <c r="L23" s="12"/>
      <c r="M23" s="12"/>
    </row>
    <row r="24" spans="1:13" ht="15.6" x14ac:dyDescent="0.3">
      <c r="A24" s="13">
        <v>11</v>
      </c>
      <c r="B24" s="13" t="s">
        <v>56</v>
      </c>
      <c r="C24" s="13" t="s">
        <v>33</v>
      </c>
      <c r="D24" s="13"/>
      <c r="E24" s="20" t="s">
        <v>52</v>
      </c>
      <c r="F24" s="40"/>
      <c r="G24" s="12"/>
      <c r="H24" s="12"/>
      <c r="I24" s="12"/>
      <c r="J24" s="12"/>
      <c r="K24" s="12"/>
      <c r="L24" s="12"/>
      <c r="M24" s="12"/>
    </row>
    <row r="25" spans="1:13" ht="15.6" x14ac:dyDescent="0.3">
      <c r="A25" s="13">
        <v>12</v>
      </c>
      <c r="B25" s="13" t="s">
        <v>54</v>
      </c>
      <c r="C25" s="13" t="s">
        <v>53</v>
      </c>
      <c r="D25" s="13"/>
      <c r="E25" s="21">
        <f xml:space="preserve"> -3</f>
        <v>-3</v>
      </c>
      <c r="F25" s="41"/>
      <c r="G25" s="12"/>
      <c r="H25" s="12"/>
      <c r="I25" s="12"/>
      <c r="J25" s="12"/>
      <c r="K25" s="12"/>
      <c r="L25" s="12"/>
      <c r="M25" s="12"/>
    </row>
    <row r="26" spans="1:13" ht="48" customHeight="1" x14ac:dyDescent="0.3">
      <c r="A26" s="13">
        <v>13</v>
      </c>
      <c r="B26" s="13" t="s">
        <v>51</v>
      </c>
      <c r="C26" s="13" t="s">
        <v>25</v>
      </c>
      <c r="D26" s="13"/>
      <c r="E26" s="23" t="s">
        <v>90</v>
      </c>
      <c r="F26" s="22">
        <f>COUNTIFS('Tổng hợp điểm'!$J$7:$J$20, "&gt;=7", 'Tổng hợp điểm'!$K$7:$K$20, "A") + COUNTIFS('Tổng hợp điểm'!$J$7:$J$20, "&gt;=7", 'Tổng hợp điểm'!$K$7:$K$20, "B+")</f>
        <v>1</v>
      </c>
      <c r="G26" s="12"/>
      <c r="H26" s="12"/>
      <c r="I26" s="12"/>
      <c r="J26" s="12"/>
      <c r="K26" s="12"/>
      <c r="L26" s="12"/>
      <c r="M26" s="12"/>
    </row>
    <row r="27" spans="1:13" ht="15.6" x14ac:dyDescent="0.3">
      <c r="A27" s="13">
        <v>14</v>
      </c>
      <c r="B27" s="13" t="s">
        <v>50</v>
      </c>
      <c r="C27" s="13" t="s">
        <v>29</v>
      </c>
      <c r="D27" s="13"/>
      <c r="E27" s="14" t="s">
        <v>49</v>
      </c>
      <c r="F27" s="22" cm="1">
        <f t="array" ref="F27">SUMPRODUCT(--(VALUE(LEFT('Tổng hợp điểm'!$B$7:$B$20, 1)) &gt; 2))</f>
        <v>2</v>
      </c>
      <c r="G27" s="12"/>
      <c r="H27" s="12"/>
      <c r="I27" s="12"/>
      <c r="J27" s="12"/>
      <c r="K27" s="12"/>
      <c r="L27" s="12"/>
      <c r="M27" s="12"/>
    </row>
  </sheetData>
  <mergeCells count="6">
    <mergeCell ref="F23:F25"/>
    <mergeCell ref="A1:C1"/>
    <mergeCell ref="E1:F1"/>
    <mergeCell ref="A12:C12"/>
    <mergeCell ref="E12:F12"/>
    <mergeCell ref="E22:F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Tổng hợp điểm</vt:lpstr>
      <vt:lpstr>Sinh viên điểm &lt; 7</vt:lpstr>
      <vt:lpstr>Sinh viên điểm &gt;= 7</vt:lpstr>
      <vt:lpstr>Điểm thực hành các buổi</vt:lpstr>
      <vt:lpstr>Điểm bài tập lớn</vt:lpstr>
      <vt:lpstr>Điểm lý thuyết</vt:lpstr>
      <vt:lpstr>Bảng tham chiếu &amp; thống kê</vt:lpstr>
      <vt:lpstr>'Sinh viên điểm &lt; 7'!Extract</vt:lpstr>
      <vt:lpstr>'Sinh viên điểm &gt;= 7'!Extract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nhat</dc:creator>
  <cp:lastModifiedBy>tothithanhhuyen0907@gmail.com</cp:lastModifiedBy>
  <dcterms:created xsi:type="dcterms:W3CDTF">2026-09-21T07:14:12Z</dcterms:created>
  <dcterms:modified xsi:type="dcterms:W3CDTF">2026-09-22T18:03:00Z</dcterms:modified>
</cp:coreProperties>
</file>